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40e520b32c30e29/Motoclub/Compte/"/>
    </mc:Choice>
  </mc:AlternateContent>
  <xr:revisionPtr revIDLastSave="5868" documentId="11_C04B4224DBB1912B1244344DD41F6C68740B34C1" xr6:coauthVersionLast="47" xr6:coauthVersionMax="47" xr10:uidLastSave="{F9F17252-1BBE-4EB9-AEFA-ABDD833B222D}"/>
  <bookViews>
    <workbookView xWindow="-120" yWindow="-120" windowWidth="29040" windowHeight="17520" tabRatio="909" activeTab="7" xr2:uid="{00000000-000D-0000-FFFF-FFFF00000000}"/>
  </bookViews>
  <sheets>
    <sheet name="Journal" sheetId="14" r:id="rId1"/>
    <sheet name="Cotisations" sheetId="4" r:id="rId2"/>
    <sheet name="Caisse" sheetId="3" r:id="rId3"/>
    <sheet name="Raiffeisen" sheetId="5" r:id="rId4"/>
    <sheet name="Produits et Frais" sheetId="6" r:id="rId5"/>
    <sheet name="Twint" sheetId="16" r:id="rId6"/>
    <sheet name="Caissier" sheetId="20" r:id="rId7"/>
    <sheet name="Marché Villageois" sheetId="15" r:id="rId8"/>
    <sheet name="Passifs Transitoires" sheetId="21" r:id="rId9"/>
    <sheet name="Profits et Pertes" sheetId="10" r:id="rId10"/>
    <sheet name="Capital" sheetId="11" r:id="rId11"/>
  </sheets>
  <definedNames>
    <definedName name="_xlnm.Print_Area" localSheetId="2">'Caisse'!$A$1:$E$42</definedName>
    <definedName name="_xlnm.Print_Area" localSheetId="6">'Caissier'!$A$2:$D$18</definedName>
    <definedName name="_xlnm.Print_Area" localSheetId="10">'Capital'!$A$2:$D$8</definedName>
    <definedName name="_xlnm.Print_Area" localSheetId="1">'Cotisations'!$A$1:$D$50</definedName>
    <definedName name="_xlnm.Print_Area" localSheetId="0">Journal!$A$2:$D$176</definedName>
    <definedName name="_xlnm.Print_Area" localSheetId="7">'Marché Villageois'!$A$2:$D$24</definedName>
    <definedName name="_xlnm.Print_Area" localSheetId="4">'Produits et Frais'!$A$2:$D$76</definedName>
    <definedName name="_xlnm.Print_Area" localSheetId="9">'Profits et Pertes'!$A$2:$D$9</definedName>
    <definedName name="_xlnm.Print_Area" localSheetId="3">'Raiffeisen'!$A$1:$E$87</definedName>
    <definedName name="_xlnm.Print_Area" localSheetId="5">Twint!$A$2:$D$47</definedName>
    <definedName name="_xlnm.Print_Titles" localSheetId="2">'Caisse'!$2:$5</definedName>
    <definedName name="_xlnm.Print_Titles" localSheetId="6">'Caissier'!$2:$5</definedName>
    <definedName name="_xlnm.Print_Titles" localSheetId="1">'Cotisations'!$2:$5</definedName>
    <definedName name="_xlnm.Print_Titles" localSheetId="0">Journal!$2:$4</definedName>
    <definedName name="_xlnm.Print_Titles" localSheetId="7">'Marché Villageois'!$2:$5</definedName>
    <definedName name="_xlnm.Print_Titles" localSheetId="4">'Produits et Frais'!$2:$5</definedName>
    <definedName name="_xlnm.Print_Titles" localSheetId="3">'Raiffeisen'!$2:$5</definedName>
    <definedName name="_xlnm.Print_Titles" localSheetId="5">Twint!$2:$5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5" l="1"/>
  <c r="E23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D8" i="21"/>
  <c r="D3" i="21"/>
  <c r="C8" i="21"/>
  <c r="C3" i="21"/>
  <c r="C8" i="11"/>
  <c r="D8" i="11"/>
  <c r="D3" i="11"/>
  <c r="C9" i="10"/>
  <c r="D18" i="20"/>
  <c r="D3" i="20"/>
  <c r="C18" i="20"/>
  <c r="E6" i="5"/>
  <c r="E6" i="3"/>
  <c r="C24" i="15"/>
  <c r="C3" i="15" s="1"/>
  <c r="C42" i="3"/>
  <c r="D42" i="3"/>
  <c r="C47" i="16"/>
  <c r="C3" i="16" s="1"/>
  <c r="D47" i="16"/>
  <c r="C50" i="4"/>
  <c r="C3" i="4" s="1"/>
  <c r="D50" i="4"/>
  <c r="C76" i="6"/>
  <c r="C87" i="5"/>
  <c r="C3" i="5" s="1"/>
  <c r="D87" i="5"/>
  <c r="D3" i="5" s="1"/>
  <c r="D24" i="15"/>
  <c r="C3" i="11"/>
  <c r="D2" i="11"/>
  <c r="D2" i="21"/>
  <c r="D9" i="10"/>
  <c r="D3" i="10"/>
  <c r="D76" i="6"/>
  <c r="C3" i="10"/>
  <c r="D2" i="10"/>
  <c r="C3" i="20"/>
  <c r="D2" i="20"/>
  <c r="D3" i="6"/>
  <c r="D3" i="3" l="1"/>
  <c r="D3" i="15"/>
  <c r="D2" i="15" s="1"/>
  <c r="D2" i="5"/>
  <c r="D3" i="16"/>
  <c r="D2" i="16"/>
  <c r="C3" i="6"/>
  <c r="D2" i="6"/>
  <c r="D3" i="4"/>
  <c r="D2" i="4"/>
  <c r="C3" i="3"/>
  <c r="D2" i="3"/>
</calcChain>
</file>

<file path=xl/sharedStrings.xml><?xml version="1.0" encoding="utf-8"?>
<sst xmlns="http://schemas.openxmlformats.org/spreadsheetml/2006/main" count="307" uniqueCount="97">
  <si>
    <t>Raiffeisen</t>
  </si>
  <si>
    <t>Produits et Frais</t>
  </si>
  <si>
    <t>Profits et Pertes</t>
  </si>
  <si>
    <t>Capital</t>
  </si>
  <si>
    <t>Date</t>
  </si>
  <si>
    <t>Libellé</t>
  </si>
  <si>
    <t>Doit</t>
  </si>
  <si>
    <t>Avoir</t>
  </si>
  <si>
    <t>Total</t>
  </si>
  <si>
    <t>Journal</t>
  </si>
  <si>
    <t>Caisse</t>
  </si>
  <si>
    <t>Cotisations</t>
  </si>
  <si>
    <t>Marché Villageois</t>
  </si>
  <si>
    <t>Twint</t>
  </si>
  <si>
    <t>Pièce</t>
  </si>
  <si>
    <t>Montant</t>
  </si>
  <si>
    <t>Courant</t>
  </si>
  <si>
    <t>R02</t>
  </si>
  <si>
    <t>Caissier</t>
  </si>
  <si>
    <t>Passifs Transitoires</t>
  </si>
  <si>
    <t>Capital - Bilan d'entrée</t>
  </si>
  <si>
    <t>Caisse - Solde à nouveau</t>
  </si>
  <si>
    <t>Raiffeisen - Solde à nouveau</t>
  </si>
  <si>
    <t>01</t>
  </si>
  <si>
    <t>02</t>
  </si>
  <si>
    <t>Raiffeisen à Frais - AXA Assurance RC</t>
  </si>
  <si>
    <t>03</t>
  </si>
  <si>
    <t>R01</t>
  </si>
  <si>
    <t>Raiffeisen à Frais - Fleurs décès maman Fabrice</t>
  </si>
  <si>
    <t>Raiffeisen à Frais - Romande Energie</t>
  </si>
  <si>
    <t>Raiffeisen à Cotisations - MONOD Fabrice</t>
  </si>
  <si>
    <t>Raiffeisen à Cotisations - MONOD Xavier</t>
  </si>
  <si>
    <t>Caisse à Cotisations - SCHMID Madelaine</t>
  </si>
  <si>
    <t>Caisse à Frais - Matériel Convocation AG, Monique</t>
  </si>
  <si>
    <t>04</t>
  </si>
  <si>
    <t>Raiffeisen à Cotisations - ANSERMOZ Patrick</t>
  </si>
  <si>
    <t>Raiffeisen à Cotisations - WALTER Fanny et Orlando</t>
  </si>
  <si>
    <t xml:space="preserve">Raiffeisen à Frais - Taxe versement en espèce à la poste (WALTER) </t>
  </si>
  <si>
    <t>Raiffeisen à Cotisations - HERVE Ludovic</t>
  </si>
  <si>
    <t>Raiffeisen à Cotisations - MARET Claude</t>
  </si>
  <si>
    <t>Raiffeisen à Cotisations - RICHARD Christian</t>
  </si>
  <si>
    <t>Raiffeisen à Cotisations - WICKART Rolf</t>
  </si>
  <si>
    <t>Raiffeisen à Cotisations - BONJOUR Cyrille</t>
  </si>
  <si>
    <t>Raiffeisen à Cotisations - DA SILVA Paulo</t>
  </si>
  <si>
    <t>Raiffeisen à Cotisations - ECHERNARD Patrick</t>
  </si>
  <si>
    <t>Raiffeisen à Cotisations - ETIENNE Jean-Marc</t>
  </si>
  <si>
    <t>Raiffeisen à Cotisations - BLANCHARD Ami-Pierre</t>
  </si>
  <si>
    <t>R03</t>
  </si>
  <si>
    <t>Raiffeisen à Cotisations - PERRET Jean-Michel</t>
  </si>
  <si>
    <t>Caisse à Cotisations - ROTH Bruno</t>
  </si>
  <si>
    <t>Caisse à Cotisations - SAUTHIER Monique</t>
  </si>
  <si>
    <t>Caisse à Frais - Achat Pain AG, Jean-Luc</t>
  </si>
  <si>
    <t>Caisse à Frais - Achat Apéro AG, Monique</t>
  </si>
  <si>
    <t>05</t>
  </si>
  <si>
    <t>Raiffeisen à Cotisations - ROSSIER Jérome</t>
  </si>
  <si>
    <t>Caisse à Cotisations - POUSAZ Jean-Pierre</t>
  </si>
  <si>
    <t>Caisse à Cotisations - PILET Fabrice</t>
  </si>
  <si>
    <t>Caisse à Cotisations - PAULO Julio</t>
  </si>
  <si>
    <t>Caisse à Cotisations - RIEDO Robert</t>
  </si>
  <si>
    <t>Caisse à Cotisations - ROUX Sebastien</t>
  </si>
  <si>
    <t>Caisse à Cotisations - PEREZ David et Véronique</t>
  </si>
  <si>
    <t>TWINT à Cotisations - CARCIOLA Adrien</t>
  </si>
  <si>
    <t>TWINT à Cotisations - DEVAUD Jean-Pierre</t>
  </si>
  <si>
    <t>TWINT à Cotisations - MARMOTIN Sébastien</t>
  </si>
  <si>
    <t>Caisse à Cotisations - Henrique Figeira</t>
  </si>
  <si>
    <t>Caisse à Cotisations - BIBBO Mario</t>
  </si>
  <si>
    <t>Raiffeisen à Marché - Patente marché</t>
  </si>
  <si>
    <t>TWINT à Raiffeisen - Produits Cotisations</t>
  </si>
  <si>
    <t>TWINT à Frais - Frais Twint Cotisations</t>
  </si>
  <si>
    <t>Raiffeisen à Frais - Cadeau dépat comité Walter</t>
  </si>
  <si>
    <t>Raiffeisen à Cotisations - BENASSI Marco</t>
  </si>
  <si>
    <t>Raiffeisen à Frais - Cotisation Cartel (2025)</t>
  </si>
  <si>
    <t>Raiffeisen à Frais - Charly Blanc, vin AG</t>
  </si>
  <si>
    <t>Raiffeisen à Cotisations - PERREAZ Isabelle</t>
  </si>
  <si>
    <t>Caisse à Frais - Apéro sortie comité</t>
  </si>
  <si>
    <t>Raiffeisen à Frais - Taxes taxe tenue de compte</t>
  </si>
  <si>
    <t>Raiffeisen à Frais - Repas sortie comité</t>
  </si>
  <si>
    <t>Raiffeisen à Frais - Réparation tente</t>
  </si>
  <si>
    <t>Raiffeisen à Cotisations - SILVA Nuno</t>
  </si>
  <si>
    <t>Raiffeisen à Cotisations - MAEDER Jean-Daniel</t>
  </si>
  <si>
    <t>Raiffeisen à Produits - Location tente Up&amp;Down</t>
  </si>
  <si>
    <t>Raiffeisen à Cotisations - DELACRETAZ Murielle</t>
  </si>
  <si>
    <t>Raiffeisen à Caisses - Fonds de caisse marché</t>
  </si>
  <si>
    <t>Raiffeisen à Marché - Roux, salade de pommes de terre</t>
  </si>
  <si>
    <t>TWINT à Marché - Recette TWINT marché</t>
  </si>
  <si>
    <t>TWINT à Marché - Rachat viande restante</t>
  </si>
  <si>
    <t>Caisse à Marché - Achats divers, Monique</t>
  </si>
  <si>
    <t>Caisse à Marché - Achat Gaz, Sébastien</t>
  </si>
  <si>
    <t>Caisse à Marché - Achat Vin Eric Minod</t>
  </si>
  <si>
    <t>Caisse à Marché - Recette Caisse marché</t>
  </si>
  <si>
    <t>Raiffeisen à Marché - Petite Cave</t>
  </si>
  <si>
    <t>TWINT à Marché - Frais TWINT Marché</t>
  </si>
  <si>
    <t>TWINT à Raiffeisen - Produit TWINT Marché</t>
  </si>
  <si>
    <t>Raiffeisen à Cotisations - MARTINS Marcelo</t>
  </si>
  <si>
    <t>Raiffeisen à Marché - Boucherie de Préville</t>
  </si>
  <si>
    <t>Raiffeisen à Marché - Bar groupe</t>
  </si>
  <si>
    <t>Marché à Produits - Bénéfice Marché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</si>
</sst>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"/>
    <numFmt numFmtId="165" formatCode="_-* #,##0.00\ _C_H_F_-;\-* #,##0.00\ _C_H_F_-;_-* &quot;-&quot;??\ _C_H_F_-;_-@_-"/>
  </numFmts>
  <fonts count="5" x14ac:knownFonts="1">
    <font>
      <sz val="10"/>
      <name val="Geneva"/>
    </font>
    <font>
      <b/>
      <sz val="10"/>
      <name val="Geneva"/>
      <family val="2"/>
    </font>
    <font>
      <b/>
      <sz val="16"/>
      <name val="Geneva"/>
      <family val="2"/>
    </font>
    <font>
      <b/>
      <sz val="14"/>
      <name val="Geneva"/>
      <family val="2"/>
    </font>
    <font>
      <sz val="10"/>
      <name val="Genev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4" fontId="1" fillId="0" borderId="1" xfId="0" applyNumberFormat="1" applyFont="1" applyBorder="1"/>
    <xf numFmtId="4" fontId="1" fillId="0" borderId="0" xfId="0" applyNumberFormat="1" applyFont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left"/>
    </xf>
    <xf numFmtId="165" fontId="0" fillId="0" borderId="0" xfId="0" applyNumberFormat="1"/>
    <xf numFmtId="0" fontId="4" fillId="0" borderId="0" xfId="0" applyFont="1"/>
    <xf numFmtId="165" fontId="1" fillId="0" borderId="1" xfId="0" applyNumberFormat="1" applyFont="1" applyBorder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" fontId="1" fillId="0" borderId="4" xfId="0" applyNumberFormat="1" applyFont="1" applyBorder="1"/>
    <xf numFmtId="4" fontId="1" fillId="0" borderId="3" xfId="0" applyNumberFormat="1" applyFont="1" applyBorder="1"/>
    <xf numFmtId="165" fontId="4" fillId="0" borderId="0" xfId="0" applyNumberFormat="1" applyFont="1"/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84"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neva"/>
        <family val="2"/>
        <scheme val="none"/>
      </font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30" formatCode="@"/>
      <alignment horizontal="left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dd/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.00\ _C_H_F_-;\-* #,##0.00\ _C_H_F_-;_-* &quot;-&quot;??\ _C_H_F_-;_-@_-"/>
    </dxf>
    <dxf>
      <numFmt numFmtId="165" formatCode="_-* #,##0.00\ _C_H_F_-;\-* #,##0.00\ _C_H_F_-;_-* &quot;-&quot;??\ _C_H_F_-;_-@_-"/>
    </dxf>
    <dxf>
      <numFmt numFmtId="30" formatCode="@"/>
      <alignment horizontal="left" vertical="bottom" textRotation="0" wrapText="0" indent="0" justifyLastLine="0" shrinkToFit="0" readingOrder="0"/>
    </dxf>
    <dxf>
      <fill>
        <patternFill patternType="solid">
          <fgColor theme="0" tint="-4.9989318521683403E-2"/>
          <bgColor theme="0" tint="-4.9989318521683403E-2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1"/>
      </font>
      <border>
        <bottom style="medium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MC Style">
    <tableStyle name="MC Style" pivot="0" count="7" xr9:uid="{FF649ADC-5E2F-4773-8622-7E0AB6BF1CB3}">
      <tableStyleElement type="wholeTable" dxfId="83"/>
      <tableStyleElement type="headerRow" dxfId="82"/>
      <tableStyleElement type="totalRow" dxfId="81"/>
      <tableStyleElement type="firstColumn" dxfId="80"/>
      <tableStyleElement type="lastColumn" dxfId="79"/>
      <tableStyleElement type="firstRowStripe" dxfId="78"/>
      <tableStyleElement type="firstColumnStripe" dxfId="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B82FD-5CD9-4FBB-8986-F2C9CA1DF0D5}" name="Journal" displayName="Journal" ref="A4:D176" insertRowShift="1">
  <autoFilter ref="A4:D176" xr:uid="{7B2B82FD-5CD9-4FBB-8986-F2C9CA1DF0D5}"/>
  <tableColumns count="4">
    <tableColumn id="1" xr3:uid="{1E6EFBE9-9AB2-4F0F-AA74-58862F467333}" name="Date" totalsRowLabel="Total" totalsRowDxfId="73"/>
    <tableColumn id="2" xr3:uid="{3BD30684-FBC6-4069-9E7C-9B4A5DD203AB}" name="Libellé" totalsRowDxfId="72"/>
    <tableColumn id="3" xr3:uid="{65951C53-6827-49D9-A1F3-E5E9FCB48312}" name="Montant" totalsRowFunction="sum" dataDxfId="71" totalsRowDxfId="70"/>
    <tableColumn id="4" xr3:uid="{BB287E64-1DBA-43D3-BE5F-5BBF5F29993D}" name="Pièce" dataDxfId="69" totalsRowDxfId="68"/>
  </tableColumns>
  <tableStyleInfo name="MC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1EA0D9-63A3-45B6-8A3D-46D9476F5A7F}" name="Cotisations" displayName="Cotisations" ref="A5:D50" insertRowShift="1" totalsRowCount="1">
  <autoFilter ref="A5:D49" xr:uid="{441EA0D9-63A3-45B6-8A3D-46D9476F5A7F}"/>
  <tableColumns count="4">
    <tableColumn id="1" xr3:uid="{49D92EC4-1C6F-4FE9-AF8D-481217E1D86F}" name="Date" totalsRowLabel="Total" dataDxfId="67" totalsRowDxfId="13"/>
    <tableColumn id="2" xr3:uid="{4FC5DF4D-11C8-4CF7-91A8-B08F2913101E}" name="Libellé" dataDxfId="66" totalsRowDxfId="12"/>
    <tableColumn id="3" xr3:uid="{34150725-5E47-4365-890C-3AA8C6EF0762}" name="Doit" totalsRowFunction="sum" dataDxfId="65" totalsRowDxfId="11"/>
    <tableColumn id="4" xr3:uid="{8EBF3CEA-2F42-4F2B-B50C-012404D26F2B}" name="Avoir" totalsRowFunction="sum" dataDxfId="64" totalsRowDxfId="10"/>
  </tableColumns>
  <tableStyleInfo name="MC 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781E4F-EC74-4C3F-A276-F686F1012EC0}" name="Caisse" displayName="Caisse" ref="A5:E42" insertRowShift="1" totalsRowCount="1">
  <autoFilter ref="A5:E41" xr:uid="{F5781E4F-EC74-4C3F-A276-F686F1012EC0}"/>
  <tableColumns count="5">
    <tableColumn id="1" xr3:uid="{C52466D9-6912-41AC-9B18-28C4A848F669}" name="Date" totalsRowLabel="Total"/>
    <tableColumn id="2" xr3:uid="{20A4029A-5781-4E15-A8BF-E8BCDDEFDBC6}" name="Libellé" dataDxfId="63" totalsRowDxfId="9"/>
    <tableColumn id="3" xr3:uid="{BE2AA2DA-5CD8-48CD-BFEF-4BF866E561E9}" name="Doit" totalsRowFunction="sum" dataDxfId="62" totalsRowDxfId="8"/>
    <tableColumn id="4" xr3:uid="{4BB8FBA1-6BD9-439F-B1D1-C7DE5FD585AF}" name="Avoir" totalsRowFunction="sum" dataDxfId="61" totalsRowDxfId="7"/>
    <tableColumn id="5" xr3:uid="{EFC0B188-361E-4E09-BDA0-19B0ECD8F9B4}" name="Courant" dataDxfId="60">
      <calculatedColumnFormula>SUM(INDEX(Caisse[Avoir],1):Caisse[[#This Row],[Avoir]])-SUM(INDEX(Caisse[Doit],1):Caisse[[#This Row],[Doit]])</calculatedColumnFormula>
    </tableColumn>
  </tableColumns>
  <tableStyleInfo name="MC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993A69-7BF1-48FC-BF8E-19CD93607689}" name="Raiffeisen" displayName="Raiffeisen" ref="A5:E87" insertRowShift="1" totalsRowCount="1">
  <autoFilter ref="A5:E86" xr:uid="{80993A69-7BF1-48FC-BF8E-19CD93607689}"/>
  <tableColumns count="5">
    <tableColumn id="1" xr3:uid="{8079245C-BA8D-4C36-9539-FF3F292AC015}" name="Date" totalsRowLabel="Total"/>
    <tableColumn id="2" xr3:uid="{748CFBAA-AF2D-4249-B225-5EE31F726995}" name="Libellé" dataDxfId="59" totalsRowDxfId="19"/>
    <tableColumn id="3" xr3:uid="{C24B7F5E-57EF-4489-8505-1D58571D5CEA}" name="Doit" totalsRowFunction="sum" dataDxfId="58" totalsRowDxfId="18"/>
    <tableColumn id="4" xr3:uid="{2D7F7F34-7CE7-4428-A99B-B633F99B7EBF}" name="Avoir" totalsRowFunction="sum" dataDxfId="57" totalsRowDxfId="17"/>
    <tableColumn id="5" xr3:uid="{A5A8049D-4440-4573-A3E7-746475FF4EA1}" name="Courant" dataDxfId="56">
      <calculatedColumnFormula>SUM(INDEX(Raiffeisen[Avoir],1):Raiffeisen[[#This Row],[Avoir]])-SUM(INDEX(Raiffeisen[Doit],1):Raiffeisen[[#This Row],[Doit]])</calculatedColumnFormula>
    </tableColumn>
  </tableColumns>
  <tableStyleInfo name="MC 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D0CFB4-E5E8-4CFC-BEB4-AE1E1C7B9076}" name="Produits" displayName="Produits" ref="A5:D76" insertRowShift="1" totalsRowCount="1">
  <autoFilter ref="A5:D75" xr:uid="{FFD0CFB4-E5E8-4CFC-BEB4-AE1E1C7B9076}"/>
  <tableColumns count="4">
    <tableColumn id="1" xr3:uid="{68085557-118C-42AA-B5BE-BC50F791B723}" name="Date" totalsRowLabel="Total"/>
    <tableColumn id="2" xr3:uid="{3E4551CD-A37D-44AD-8940-DF268C9AAA9C}" name="Libellé" dataDxfId="76" totalsRowDxfId="16"/>
    <tableColumn id="3" xr3:uid="{D46F46F2-56D0-461E-BFE4-20AB7CA6018B}" name="Doit" totalsRowFunction="sum" dataDxfId="75" totalsRowDxfId="15"/>
    <tableColumn id="4" xr3:uid="{4931A155-C620-449D-AC78-6E5D5788E2BE}" name="Avoir" totalsRowFunction="sum" dataDxfId="74" totalsRowDxfId="14"/>
  </tableColumns>
  <tableStyleInfo name="MC 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69D117-9A19-42C3-A1B3-629E2F173373}" name="Twint" displayName="Twint" ref="A5:D47" insertRowShift="1" totalsRowCount="1">
  <autoFilter ref="A5:D46" xr:uid="{A369D117-9A19-42C3-A1B3-629E2F173373}"/>
  <tableColumns count="4">
    <tableColumn id="1" xr3:uid="{5C6872AE-6487-4FC0-9BE4-D86B9FCA6899}" name="Date" totalsRowLabel="Total" dataDxfId="55" totalsRowDxfId="3"/>
    <tableColumn id="2" xr3:uid="{BB539062-C08B-4DFA-9E65-98E46DBA94B6}" name="Libellé" dataDxfId="54" totalsRowDxfId="2"/>
    <tableColumn id="3" xr3:uid="{67220DF7-926F-4526-B07E-F393DBEC8CB3}" name="Doit" totalsRowFunction="sum" dataDxfId="53" totalsRowDxfId="1"/>
    <tableColumn id="4" xr3:uid="{DA1B55A2-BEE4-4D62-92F1-C45CFBACEF74}" name="Avoir" totalsRowFunction="sum" dataDxfId="52" totalsRowDxfId="0"/>
  </tableColumns>
  <tableStyleInfo name="MC Sty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6C2956-E7FC-4AE6-B27F-BE3D8F96A46C}" name="Caissier" displayName="Caissier" ref="A5:D18" insertRowShift="1" totalsRowCount="1">
  <autoFilter ref="A5:D17" xr:uid="{A369D117-9A19-42C3-A1B3-629E2F173373}"/>
  <tableColumns count="4">
    <tableColumn id="1" xr3:uid="{180168F1-39AA-4AF1-B2F4-C288C1934413}" name="Date" totalsRowLabel="Total" dataDxfId="51" totalsRowDxfId="50"/>
    <tableColumn id="2" xr3:uid="{A32A19C8-027A-42CD-B10A-5CA69D753FC5}" name="Libellé" dataDxfId="49" totalsRowDxfId="48"/>
    <tableColumn id="3" xr3:uid="{20836CB4-FCBC-4C24-87ED-207A986B6CF2}" name="Doit" totalsRowFunction="sum" dataDxfId="47" totalsRowDxfId="46"/>
    <tableColumn id="4" xr3:uid="{15540063-B69B-43D6-85F4-8C3266124B00}" name="Avoir" totalsRowFunction="sum" dataDxfId="45" totalsRowDxfId="44"/>
  </tableColumns>
  <tableStyleInfo name="MC Sty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3FEA47-39E6-4C17-A467-8F8CD2CEBC53}" name="Marché" displayName="Marché" ref="A5:D24" insertRowShift="1" totalsRowCount="1">
  <autoFilter ref="A5:D23" xr:uid="{623FEA47-39E6-4C17-A467-8F8CD2CEBC53}"/>
  <tableColumns count="4">
    <tableColumn id="1" xr3:uid="{BED98FDD-1A77-4C7A-A95D-F42506D3229F}" name="Date" totalsRowLabel="Total"/>
    <tableColumn id="2" xr3:uid="{9E1A121E-EFC9-4C8C-B55B-CCC463211570}" name="Libellé" dataDxfId="43" totalsRowDxfId="6"/>
    <tableColumn id="3" xr3:uid="{010A4713-611F-4A80-94D4-3C00D245DE6A}" name="Doit" totalsRowFunction="sum" dataDxfId="42" totalsRowDxfId="5"/>
    <tableColumn id="4" xr3:uid="{A6D96757-3620-4D4D-A0DD-3E767A6BACB4}" name="Avoir" totalsRowFunction="sum" dataDxfId="41" totalsRowDxfId="4"/>
  </tableColumns>
  <tableStyleInfo name="MC Sty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E3CFE1-2013-461D-AD1B-DE388D1E372D}" name="PassifsTransitoires" displayName="PassifsTransitoires" ref="A5:D8" insertRowShift="1" totalsRowCount="1">
  <autoFilter ref="A5:D7" xr:uid="{FFD0CFB4-E5E8-4CFC-BEB4-AE1E1C7B9076}"/>
  <tableColumns count="4">
    <tableColumn id="1" xr3:uid="{54A0EB2D-FA94-4623-9F6B-6B4A1012B03E}" name="Date" totalsRowLabel="Total" dataDxfId="40"/>
    <tableColumn id="2" xr3:uid="{61F73BAE-7998-4AA1-BEC0-A63A15B130FD}" name="Libellé" dataDxfId="39" totalsRowDxfId="38"/>
    <tableColumn id="3" xr3:uid="{250D2D62-C184-4967-AE53-951127A39D62}" name="Doit" totalsRowFunction="sum" dataDxfId="37" totalsRowDxfId="36"/>
    <tableColumn id="4" xr3:uid="{2A409F83-FDD7-4346-9A95-935187063002}" name="Avoir" totalsRowFunction="sum" dataDxfId="35" totalsRowDxfId="34"/>
  </tableColumns>
  <tableStyleInfo name="MC Sty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506219-8B6D-4D5A-86C3-2E3B84E8B7D8}" name="Profits" displayName="Profits" ref="A5:D9" insertRowShift="1" totalsRowCount="1">
  <autoFilter ref="A5:D8" xr:uid="{0D506219-8B6D-4D5A-86C3-2E3B84E8B7D8}"/>
  <tableColumns count="4">
    <tableColumn id="1" xr3:uid="{247196E6-CCE4-4DA0-A1CD-FA3FBE462935}" name="Date" totalsRowLabel="Total" dataDxfId="33" totalsRowDxfId="32"/>
    <tableColumn id="2" xr3:uid="{0746DAAE-A38D-4A9A-BB42-13FC726F5813}" name="Libellé" dataDxfId="31" totalsRowDxfId="30"/>
    <tableColumn id="3" xr3:uid="{AC99E7FC-1094-4EF5-9BAE-97E836FCC212}" name="Doit" totalsRowFunction="sum" dataDxfId="29" totalsRowDxfId="28"/>
    <tableColumn id="4" xr3:uid="{EE6B5E78-D639-44A9-9454-13B804006A37}" name="Avoir" totalsRowFunction="sum" dataDxfId="27" totalsRowDxfId="26"/>
  </tableColumns>
  <tableStyleInfo name="MC Sty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640F17-CAC1-4528-8EDB-21C91FE0299E}" name="Capital" displayName="Capital" ref="A5:D8" insertRowShift="1" totalsRowCount="1">
  <autoFilter ref="A5:D7" xr:uid="{53640F17-CAC1-4528-8EDB-21C91FE0299E}"/>
  <tableColumns count="4">
    <tableColumn id="1" xr3:uid="{05359D27-FD36-4FC4-B276-94A14D49553B}" name="Date" totalsRowLabel="Total"/>
    <tableColumn id="2" xr3:uid="{1268464D-FED2-4305-85A3-81017166079C}" name="Libellé" dataDxfId="25" totalsRowDxfId="24"/>
    <tableColumn id="3" xr3:uid="{1EAE8374-EEB4-4197-9FCD-95A6A6A7F2BF}" name="Doit" totalsRowFunction="sum" dataDxfId="23" totalsRowDxfId="22"/>
    <tableColumn id="4" xr3:uid="{5E9C141C-FC9F-436F-99D8-FC4A3005CD40}" name="Avoir" totalsRowFunction="sum" dataDxfId="21" totalsRowDxfId="20"/>
  </tableColumns>
  <tableStyleInfo name="MC Styl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E7FC675-F2EB-4575-A2B0-DB793E6EE940}">
  <we:reference id="0e5d13db-0538-4610-b352-722875f9cd31" version="1.0.0.0" store="developer" storeType="Registry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5C3E329-613F-4134-9A9A-FC4D0417FF80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1:F176"/>
  <sheetViews>
    <sheetView topLeftCell="A30" zoomScaleNormal="100" workbookViewId="0">
      <selection activeCell="F70" sqref="F70"/>
    </sheetView>
  </sheetViews>
  <sheetFormatPr defaultColWidth="11.44140625" defaultRowHeight="12.75" x14ac:dyDescent="0.2"/>
  <cols>
    <col min="1" max="1" width="9.88671875" bestFit="1" customWidth="1"/>
    <col min="2" max="2" width="55.44140625" bestFit="1" customWidth="1"/>
    <col min="3" max="3" width="14.6640625" bestFit="1" customWidth="1"/>
    <col min="4" max="4" width="9.6640625" bestFit="1" customWidth="1"/>
    <col min="6" max="6" width="12.109375" bestFit="1" customWidth="1"/>
  </cols>
  <sheetData>
    <row r="1" spans="1:4" ht="12" customHeight="1" x14ac:dyDescent="0.2">
      <c r="A1" s="8"/>
      <c r="B1" s="8"/>
      <c r="C1" s="8"/>
      <c r="D1" s="8"/>
    </row>
    <row r="2" spans="1:4" ht="18" customHeight="1" x14ac:dyDescent="0.25">
      <c r="A2" s="1"/>
      <c r="B2" s="9" t="s">
        <v>9</v>
      </c>
    </row>
    <row r="3" spans="1:4" ht="12" customHeight="1" x14ac:dyDescent="0.2">
      <c r="A3" s="1"/>
      <c r="B3" s="7"/>
      <c r="C3" s="6"/>
    </row>
    <row r="4" spans="1:4" x14ac:dyDescent="0.2">
      <c r="A4" t="s">
        <v>4</v>
      </c>
      <c r="B4" s="5" t="s">
        <v>5</v>
      </c>
      <c r="C4" s="21" t="s">
        <v>15</v>
      </c>
      <c r="D4" s="1" t="s">
        <v>14</v>
      </c>
    </row>
    <row r="5" spans="1:4" x14ac:dyDescent="0.2">
      <c r="A5" s="10">
        <v>44561</v>
      </c>
      <c r="B5" s="14" t="s">
        <v>20</v>
      </c>
      <c r="C5" s="15">
        <v>12780.84</v>
      </c>
      <c r="D5" s="22"/>
    </row>
    <row r="6" spans="1:4" x14ac:dyDescent="0.2">
      <c r="A6" s="10">
        <v>44561</v>
      </c>
      <c r="B6" s="18" t="s">
        <v>21</v>
      </c>
      <c r="C6" s="17">
        <v>1521.3</v>
      </c>
      <c r="D6" s="22"/>
    </row>
    <row r="7" spans="1:4" x14ac:dyDescent="0.2">
      <c r="A7" s="10">
        <v>44561</v>
      </c>
      <c r="B7" s="18" t="s">
        <v>22</v>
      </c>
      <c r="C7" s="17">
        <v>11259.54</v>
      </c>
      <c r="D7" s="22" t="s">
        <v>27</v>
      </c>
    </row>
    <row r="8" spans="1:4" x14ac:dyDescent="0.2">
      <c r="A8" s="10">
        <v>44568</v>
      </c>
      <c r="B8" s="16" t="s">
        <v>28</v>
      </c>
      <c r="C8" s="17">
        <v>51.3</v>
      </c>
      <c r="D8" s="22" t="s">
        <v>23</v>
      </c>
    </row>
    <row r="9" spans="1:4" x14ac:dyDescent="0.2">
      <c r="A9" s="10">
        <v>44588</v>
      </c>
      <c r="B9" s="18" t="s">
        <v>25</v>
      </c>
      <c r="C9" s="17">
        <v>215.25</v>
      </c>
      <c r="D9" s="22" t="s">
        <v>24</v>
      </c>
    </row>
    <row r="10" spans="1:4" x14ac:dyDescent="0.2">
      <c r="A10" s="11">
        <v>44601</v>
      </c>
      <c r="B10" s="18" t="s">
        <v>29</v>
      </c>
      <c r="C10" s="17">
        <v>70</v>
      </c>
      <c r="D10" s="22" t="s">
        <v>26</v>
      </c>
    </row>
    <row r="11" spans="1:4" x14ac:dyDescent="0.2">
      <c r="A11" s="10">
        <v>44602</v>
      </c>
      <c r="B11" s="18" t="s">
        <v>30</v>
      </c>
      <c r="C11" s="17">
        <v>30</v>
      </c>
      <c r="D11" s="22" t="s">
        <v>17</v>
      </c>
    </row>
    <row r="12" spans="1:4" x14ac:dyDescent="0.2">
      <c r="A12" s="10">
        <v>44604</v>
      </c>
      <c r="B12" s="18" t="s">
        <v>54</v>
      </c>
      <c r="C12" s="17">
        <v>60</v>
      </c>
      <c r="D12" s="22" t="s">
        <v>17</v>
      </c>
    </row>
    <row r="13" spans="1:4" x14ac:dyDescent="0.2">
      <c r="A13" s="10">
        <v>44608</v>
      </c>
      <c r="B13" s="18" t="s">
        <v>31</v>
      </c>
      <c r="C13" s="17">
        <v>30</v>
      </c>
      <c r="D13" s="22" t="s">
        <v>17</v>
      </c>
    </row>
    <row r="14" spans="1:4" x14ac:dyDescent="0.2">
      <c r="A14" s="10">
        <v>44617</v>
      </c>
      <c r="B14" s="18" t="s">
        <v>35</v>
      </c>
      <c r="C14" s="17">
        <v>30</v>
      </c>
      <c r="D14" s="22" t="s">
        <v>17</v>
      </c>
    </row>
    <row r="15" spans="1:4" x14ac:dyDescent="0.2">
      <c r="A15" s="10">
        <v>44617</v>
      </c>
      <c r="B15" s="18" t="s">
        <v>36</v>
      </c>
      <c r="C15" s="17">
        <v>60</v>
      </c>
      <c r="D15" s="22" t="s">
        <v>17</v>
      </c>
    </row>
    <row r="16" spans="1:4" x14ac:dyDescent="0.2">
      <c r="A16" s="10">
        <v>44617</v>
      </c>
      <c r="B16" s="18" t="s">
        <v>37</v>
      </c>
      <c r="C16" s="17">
        <v>1.6</v>
      </c>
      <c r="D16" s="22" t="s">
        <v>17</v>
      </c>
    </row>
    <row r="17" spans="1:4" x14ac:dyDescent="0.2">
      <c r="A17" s="10">
        <v>44617</v>
      </c>
      <c r="B17" s="18" t="s">
        <v>38</v>
      </c>
      <c r="C17" s="17">
        <v>30</v>
      </c>
      <c r="D17" s="22" t="s">
        <v>17</v>
      </c>
    </row>
    <row r="18" spans="1:4" x14ac:dyDescent="0.2">
      <c r="A18" s="10">
        <v>44618</v>
      </c>
      <c r="B18" s="18" t="s">
        <v>39</v>
      </c>
      <c r="C18" s="17">
        <v>30</v>
      </c>
      <c r="D18" s="22" t="s">
        <v>17</v>
      </c>
    </row>
    <row r="19" spans="1:4" x14ac:dyDescent="0.2">
      <c r="A19" s="10">
        <v>44618</v>
      </c>
      <c r="B19" s="18" t="s">
        <v>40</v>
      </c>
      <c r="C19" s="17">
        <v>30</v>
      </c>
      <c r="D19" s="22" t="s">
        <v>17</v>
      </c>
    </row>
    <row r="20" spans="1:4" x14ac:dyDescent="0.2">
      <c r="A20" s="10">
        <v>44618</v>
      </c>
      <c r="B20" s="18" t="s">
        <v>41</v>
      </c>
      <c r="C20" s="17">
        <v>30</v>
      </c>
      <c r="D20" s="22" t="s">
        <v>17</v>
      </c>
    </row>
    <row r="21" spans="1:4" x14ac:dyDescent="0.2">
      <c r="A21" s="10">
        <v>44618</v>
      </c>
      <c r="B21" s="18" t="s">
        <v>42</v>
      </c>
      <c r="C21" s="17">
        <v>30</v>
      </c>
      <c r="D21" s="22" t="s">
        <v>17</v>
      </c>
    </row>
    <row r="22" spans="1:4" x14ac:dyDescent="0.2">
      <c r="A22" s="10">
        <v>44621</v>
      </c>
      <c r="B22" s="18" t="s">
        <v>43</v>
      </c>
      <c r="C22" s="17">
        <v>30</v>
      </c>
      <c r="D22" s="22" t="s">
        <v>47</v>
      </c>
    </row>
    <row r="23" spans="1:4" x14ac:dyDescent="0.2">
      <c r="A23" s="10">
        <v>44621</v>
      </c>
      <c r="B23" s="18" t="s">
        <v>44</v>
      </c>
      <c r="C23" s="17">
        <v>30</v>
      </c>
      <c r="D23" s="22" t="s">
        <v>47</v>
      </c>
    </row>
    <row r="24" spans="1:4" x14ac:dyDescent="0.2">
      <c r="A24" s="10">
        <v>44621</v>
      </c>
      <c r="B24" s="18" t="s">
        <v>45</v>
      </c>
      <c r="C24" s="17">
        <v>30</v>
      </c>
      <c r="D24" s="22" t="s">
        <v>47</v>
      </c>
    </row>
    <row r="25" spans="1:4" x14ac:dyDescent="0.2">
      <c r="A25" s="10">
        <v>44621</v>
      </c>
      <c r="B25" s="18" t="s">
        <v>46</v>
      </c>
      <c r="C25" s="17">
        <v>30</v>
      </c>
      <c r="D25" s="22" t="s">
        <v>47</v>
      </c>
    </row>
    <row r="26" spans="1:4" x14ac:dyDescent="0.2">
      <c r="A26" s="10">
        <v>44622</v>
      </c>
      <c r="B26" s="18" t="s">
        <v>48</v>
      </c>
      <c r="C26" s="17">
        <v>30</v>
      </c>
      <c r="D26" s="22" t="s">
        <v>47</v>
      </c>
    </row>
    <row r="27" spans="1:4" x14ac:dyDescent="0.2">
      <c r="A27" s="10">
        <v>44626</v>
      </c>
      <c r="B27" s="18" t="s">
        <v>32</v>
      </c>
      <c r="C27" s="17">
        <v>30</v>
      </c>
      <c r="D27" s="22"/>
    </row>
    <row r="28" spans="1:4" x14ac:dyDescent="0.2">
      <c r="A28" s="10">
        <v>44626</v>
      </c>
      <c r="B28" s="18" t="s">
        <v>33</v>
      </c>
      <c r="C28" s="17">
        <v>167</v>
      </c>
      <c r="D28" s="22" t="s">
        <v>34</v>
      </c>
    </row>
    <row r="29" spans="1:4" x14ac:dyDescent="0.2">
      <c r="A29" s="10">
        <v>44626</v>
      </c>
      <c r="B29" s="18" t="s">
        <v>49</v>
      </c>
      <c r="C29" s="17">
        <v>30</v>
      </c>
      <c r="D29" s="22"/>
    </row>
    <row r="30" spans="1:4" x14ac:dyDescent="0.2">
      <c r="A30" s="10">
        <v>44626</v>
      </c>
      <c r="B30" s="18" t="s">
        <v>50</v>
      </c>
      <c r="C30" s="17">
        <v>30</v>
      </c>
      <c r="D30" s="22"/>
    </row>
    <row r="31" spans="1:4" x14ac:dyDescent="0.2">
      <c r="A31" s="10">
        <v>44626</v>
      </c>
      <c r="B31" s="18" t="s">
        <v>51</v>
      </c>
      <c r="C31" s="17">
        <v>10</v>
      </c>
      <c r="D31" s="22" t="s">
        <v>53</v>
      </c>
    </row>
    <row r="32" spans="1:4" x14ac:dyDescent="0.2">
      <c r="A32" s="10">
        <v>44626</v>
      </c>
      <c r="B32" s="18" t="s">
        <v>52</v>
      </c>
      <c r="C32" s="17">
        <v>295</v>
      </c>
      <c r="D32" s="22" t="s">
        <v>53</v>
      </c>
    </row>
    <row r="33" spans="1:4" x14ac:dyDescent="0.2">
      <c r="A33" s="10">
        <v>44626</v>
      </c>
      <c r="B33" s="18" t="s">
        <v>55</v>
      </c>
      <c r="C33" s="17">
        <v>30</v>
      </c>
      <c r="D33" s="22"/>
    </row>
    <row r="34" spans="1:4" x14ac:dyDescent="0.2">
      <c r="A34" s="10">
        <v>44626</v>
      </c>
      <c r="B34" s="18" t="s">
        <v>56</v>
      </c>
      <c r="C34" s="17">
        <v>30</v>
      </c>
      <c r="D34" s="22"/>
    </row>
    <row r="35" spans="1:4" x14ac:dyDescent="0.2">
      <c r="A35" s="10">
        <v>44626</v>
      </c>
      <c r="B35" s="18" t="s">
        <v>57</v>
      </c>
      <c r="C35" s="17">
        <v>30</v>
      </c>
      <c r="D35" s="22"/>
    </row>
    <row r="36" spans="1:4" x14ac:dyDescent="0.2">
      <c r="A36" s="10">
        <v>44626</v>
      </c>
      <c r="B36" s="18" t="s">
        <v>58</v>
      </c>
      <c r="C36" s="17">
        <v>40</v>
      </c>
      <c r="D36" s="22"/>
    </row>
    <row r="37" spans="1:4" x14ac:dyDescent="0.2">
      <c r="A37" s="10">
        <v>44626</v>
      </c>
      <c r="B37" s="18" t="s">
        <v>59</v>
      </c>
      <c r="C37" s="17">
        <v>30</v>
      </c>
      <c r="D37" s="22"/>
    </row>
    <row r="38" spans="1:4" x14ac:dyDescent="0.2">
      <c r="A38" s="10">
        <v>44626</v>
      </c>
      <c r="B38" s="18" t="s">
        <v>60</v>
      </c>
      <c r="C38" s="17">
        <v>60</v>
      </c>
      <c r="D38" s="22"/>
    </row>
    <row r="39" spans="1:4" x14ac:dyDescent="0.2">
      <c r="A39" s="10">
        <v>44626</v>
      </c>
      <c r="B39" s="18" t="s">
        <v>61</v>
      </c>
      <c r="C39" s="17">
        <v>30</v>
      </c>
      <c r="D39" s="22"/>
    </row>
    <row r="40" spans="1:4" x14ac:dyDescent="0.2">
      <c r="A40" s="10">
        <v>44626</v>
      </c>
      <c r="B40" s="18" t="s">
        <v>63</v>
      </c>
      <c r="C40" s="17">
        <v>30</v>
      </c>
      <c r="D40" s="22"/>
    </row>
    <row r="41" spans="1:4" x14ac:dyDescent="0.2">
      <c r="A41" s="10">
        <v>44626</v>
      </c>
      <c r="B41" s="18" t="s">
        <v>62</v>
      </c>
      <c r="C41" s="17">
        <v>30</v>
      </c>
      <c r="D41" s="22"/>
    </row>
    <row r="42" spans="1:4" x14ac:dyDescent="0.2">
      <c r="A42" s="10">
        <v>44626</v>
      </c>
      <c r="B42" s="18" t="s">
        <v>64</v>
      </c>
      <c r="C42" s="17">
        <v>30</v>
      </c>
      <c r="D42" s="22"/>
    </row>
    <row r="43" spans="1:4" x14ac:dyDescent="0.2">
      <c r="A43" s="10">
        <v>44626</v>
      </c>
      <c r="B43" s="18" t="s">
        <v>65</v>
      </c>
      <c r="C43" s="17">
        <v>30</v>
      </c>
      <c r="D43" s="22"/>
    </row>
    <row r="44" spans="1:4" x14ac:dyDescent="0.2">
      <c r="A44" s="10">
        <v>44628</v>
      </c>
      <c r="B44" s="18" t="s">
        <v>66</v>
      </c>
      <c r="C44" s="17">
        <v>50</v>
      </c>
      <c r="D44" s="22"/>
    </row>
    <row r="45" spans="1:4" x14ac:dyDescent="0.2">
      <c r="A45" s="10">
        <v>44629</v>
      </c>
      <c r="B45" s="18" t="s">
        <v>67</v>
      </c>
      <c r="C45" s="17">
        <v>88.83</v>
      </c>
      <c r="D45" s="22"/>
    </row>
    <row r="46" spans="1:4" x14ac:dyDescent="0.2">
      <c r="A46" s="10">
        <v>44629</v>
      </c>
      <c r="B46" s="18" t="s">
        <v>68</v>
      </c>
      <c r="C46" s="17">
        <v>1.17</v>
      </c>
      <c r="D46" s="22"/>
    </row>
    <row r="47" spans="1:4" x14ac:dyDescent="0.2">
      <c r="A47" s="10">
        <v>44638</v>
      </c>
      <c r="B47" s="18" t="s">
        <v>69</v>
      </c>
      <c r="C47" s="17">
        <v>83</v>
      </c>
      <c r="D47" s="22"/>
    </row>
    <row r="48" spans="1:4" x14ac:dyDescent="0.2">
      <c r="A48" s="10">
        <v>44645</v>
      </c>
      <c r="B48" s="18" t="s">
        <v>70</v>
      </c>
      <c r="C48" s="17">
        <v>30</v>
      </c>
      <c r="D48" s="22"/>
    </row>
    <row r="49" spans="1:4" x14ac:dyDescent="0.2">
      <c r="A49" s="10">
        <v>44645</v>
      </c>
      <c r="B49" s="18" t="s">
        <v>71</v>
      </c>
      <c r="C49" s="17">
        <v>100</v>
      </c>
      <c r="D49" s="22"/>
    </row>
    <row r="50" spans="1:4" x14ac:dyDescent="0.2">
      <c r="A50" s="10">
        <v>44645</v>
      </c>
      <c r="B50" s="18" t="s">
        <v>72</v>
      </c>
      <c r="C50" s="17">
        <v>249</v>
      </c>
      <c r="D50" s="22"/>
    </row>
    <row r="51" spans="1:4" x14ac:dyDescent="0.2">
      <c r="A51" s="10">
        <v>44646</v>
      </c>
      <c r="B51" s="18" t="s">
        <v>73</v>
      </c>
      <c r="C51" s="17">
        <v>30</v>
      </c>
      <c r="D51" s="22"/>
    </row>
    <row r="52" spans="1:4" x14ac:dyDescent="0.2">
      <c r="A52" s="10">
        <v>44647</v>
      </c>
      <c r="B52" s="18" t="s">
        <v>74</v>
      </c>
      <c r="C52" s="17">
        <v>41</v>
      </c>
      <c r="D52" s="22"/>
    </row>
    <row r="53" spans="1:4" x14ac:dyDescent="0.2">
      <c r="A53" s="10">
        <v>44649</v>
      </c>
      <c r="B53" s="16" t="s">
        <v>75</v>
      </c>
      <c r="C53" s="17">
        <v>15</v>
      </c>
      <c r="D53" s="22"/>
    </row>
    <row r="54" spans="1:4" x14ac:dyDescent="0.2">
      <c r="A54" s="10">
        <v>44649</v>
      </c>
      <c r="B54" s="18" t="s">
        <v>76</v>
      </c>
      <c r="C54" s="17">
        <v>467.9</v>
      </c>
      <c r="D54" s="22"/>
    </row>
    <row r="55" spans="1:4" x14ac:dyDescent="0.2">
      <c r="A55" s="10">
        <v>44652</v>
      </c>
      <c r="B55" s="18" t="s">
        <v>77</v>
      </c>
      <c r="C55" s="17">
        <v>404.5</v>
      </c>
      <c r="D55" s="22"/>
    </row>
    <row r="56" spans="1:4" x14ac:dyDescent="0.2">
      <c r="A56" s="10">
        <v>44652</v>
      </c>
      <c r="B56" s="16" t="s">
        <v>78</v>
      </c>
      <c r="C56" s="17">
        <v>60</v>
      </c>
      <c r="D56" s="26"/>
    </row>
    <row r="57" spans="1:4" x14ac:dyDescent="0.2">
      <c r="A57" s="10">
        <v>44657</v>
      </c>
      <c r="B57" s="18" t="s">
        <v>79</v>
      </c>
      <c r="C57" s="17">
        <v>30</v>
      </c>
      <c r="D57" s="22"/>
    </row>
    <row r="58" spans="1:4" x14ac:dyDescent="0.2">
      <c r="A58" s="10">
        <v>44657</v>
      </c>
      <c r="B58" s="18" t="s">
        <v>80</v>
      </c>
      <c r="C58" s="17">
        <v>250</v>
      </c>
      <c r="D58" s="22"/>
    </row>
    <row r="59" spans="1:4" x14ac:dyDescent="0.2">
      <c r="A59" s="10">
        <v>44677</v>
      </c>
      <c r="B59" s="18" t="s">
        <v>29</v>
      </c>
      <c r="C59" s="17">
        <v>140.94999999999999</v>
      </c>
      <c r="D59" s="22"/>
    </row>
    <row r="60" spans="1:4" x14ac:dyDescent="0.2">
      <c r="A60" s="10">
        <v>44677</v>
      </c>
      <c r="B60" s="18" t="s">
        <v>81</v>
      </c>
      <c r="C60" s="17">
        <v>30</v>
      </c>
      <c r="D60" s="22"/>
    </row>
    <row r="61" spans="1:4" x14ac:dyDescent="0.2">
      <c r="A61" s="10">
        <v>44768</v>
      </c>
      <c r="B61" s="18" t="s">
        <v>82</v>
      </c>
      <c r="C61" s="17">
        <v>650</v>
      </c>
      <c r="D61" s="22"/>
    </row>
    <row r="62" spans="1:4" x14ac:dyDescent="0.2">
      <c r="A62" s="10">
        <v>44681</v>
      </c>
      <c r="B62" s="18" t="s">
        <v>83</v>
      </c>
      <c r="C62" s="17">
        <v>180</v>
      </c>
      <c r="D62" s="22"/>
    </row>
    <row r="63" spans="1:4" x14ac:dyDescent="0.2">
      <c r="A63" s="10">
        <v>44682</v>
      </c>
      <c r="B63" s="18" t="s">
        <v>84</v>
      </c>
      <c r="C63" s="17">
        <v>1997</v>
      </c>
      <c r="D63" s="22"/>
    </row>
    <row r="64" spans="1:4" x14ac:dyDescent="0.2">
      <c r="A64" s="10">
        <v>44682</v>
      </c>
      <c r="B64" s="18" t="s">
        <v>89</v>
      </c>
      <c r="C64" s="17">
        <v>2673.8</v>
      </c>
      <c r="D64" s="22"/>
    </row>
    <row r="65" spans="1:4" x14ac:dyDescent="0.2">
      <c r="A65" s="10">
        <v>44683</v>
      </c>
      <c r="B65" s="18" t="s">
        <v>85</v>
      </c>
      <c r="C65" s="17">
        <v>264</v>
      </c>
      <c r="D65" s="22"/>
    </row>
    <row r="66" spans="1:4" x14ac:dyDescent="0.2">
      <c r="A66" s="10">
        <v>44683</v>
      </c>
      <c r="B66" s="18" t="s">
        <v>86</v>
      </c>
      <c r="C66" s="17">
        <v>262.3</v>
      </c>
      <c r="D66" s="22"/>
    </row>
    <row r="67" spans="1:4" x14ac:dyDescent="0.2">
      <c r="A67" s="10">
        <v>44683</v>
      </c>
      <c r="B67" s="18" t="s">
        <v>87</v>
      </c>
      <c r="C67" s="17">
        <v>102</v>
      </c>
      <c r="D67" s="22"/>
    </row>
    <row r="68" spans="1:4" x14ac:dyDescent="0.2">
      <c r="A68" s="10">
        <v>44684</v>
      </c>
      <c r="B68" s="18" t="s">
        <v>88</v>
      </c>
      <c r="C68" s="17">
        <v>1160</v>
      </c>
      <c r="D68" s="22"/>
    </row>
    <row r="69" spans="1:4" x14ac:dyDescent="0.2">
      <c r="A69" s="10">
        <v>44685</v>
      </c>
      <c r="B69" s="18" t="s">
        <v>90</v>
      </c>
      <c r="C69" s="17">
        <v>428.4</v>
      </c>
      <c r="D69" s="22"/>
    </row>
    <row r="70" spans="1:4" x14ac:dyDescent="0.2">
      <c r="A70" s="10">
        <v>44685</v>
      </c>
      <c r="B70" s="18" t="s">
        <v>91</v>
      </c>
      <c r="C70" s="17">
        <v>29.41</v>
      </c>
      <c r="D70" s="22"/>
    </row>
    <row r="71" spans="1:4" x14ac:dyDescent="0.2">
      <c r="A71" s="10">
        <v>44685</v>
      </c>
      <c r="B71" s="18" t="s">
        <v>92</v>
      </c>
      <c r="C71" s="17">
        <v>2231.59</v>
      </c>
      <c r="D71" s="26"/>
    </row>
    <row r="72" spans="1:4" x14ac:dyDescent="0.2">
      <c r="A72" s="10">
        <v>44691</v>
      </c>
      <c r="B72" s="18" t="s">
        <v>93</v>
      </c>
      <c r="C72" s="17">
        <v>30</v>
      </c>
      <c r="D72" s="26"/>
    </row>
    <row r="73" spans="1:4" x14ac:dyDescent="0.2">
      <c r="A73" s="10">
        <v>44695</v>
      </c>
      <c r="B73" s="18" t="s">
        <v>94</v>
      </c>
      <c r="C73" s="17">
        <v>800</v>
      </c>
      <c r="D73" s="26"/>
    </row>
    <row r="74" spans="1:4" x14ac:dyDescent="0.2">
      <c r="A74" s="10"/>
      <c r="B74" s="18"/>
      <c r="C74" s="17"/>
      <c r="D74" s="26"/>
    </row>
    <row r="75" spans="1:4" x14ac:dyDescent="0.2">
      <c r="A75" s="10"/>
      <c r="B75" s="18"/>
      <c r="C75" s="17"/>
      <c r="D75" s="26"/>
    </row>
    <row r="76" spans="1:4" x14ac:dyDescent="0.2">
      <c r="A76" s="10"/>
      <c r="B76" s="18"/>
      <c r="C76" s="17"/>
      <c r="D76" s="26"/>
    </row>
    <row r="77" spans="1:4" x14ac:dyDescent="0.2">
      <c r="A77" s="10"/>
      <c r="B77" s="18"/>
      <c r="C77" s="17"/>
      <c r="D77" s="26"/>
    </row>
    <row r="78" spans="1:4" x14ac:dyDescent="0.2">
      <c r="A78" s="10"/>
      <c r="B78" s="18"/>
      <c r="C78" s="17"/>
      <c r="D78" s="26"/>
    </row>
    <row r="79" spans="1:4" x14ac:dyDescent="0.2">
      <c r="A79" s="10"/>
      <c r="B79" s="18"/>
      <c r="C79" s="25"/>
      <c r="D79" s="26"/>
    </row>
    <row r="80" spans="1:4" x14ac:dyDescent="0.2">
      <c r="A80" s="10"/>
      <c r="B80" s="18"/>
      <c r="C80" s="17"/>
      <c r="D80" s="26"/>
    </row>
    <row r="81" spans="1:4" x14ac:dyDescent="0.2">
      <c r="A81" s="10"/>
      <c r="B81" s="18"/>
      <c r="C81" s="17"/>
      <c r="D81" s="22"/>
    </row>
    <row r="82" spans="1:4" x14ac:dyDescent="0.2">
      <c r="A82" s="10"/>
      <c r="B82" s="18"/>
      <c r="C82" s="17"/>
      <c r="D82" s="22"/>
    </row>
    <row r="83" spans="1:4" x14ac:dyDescent="0.2">
      <c r="A83" s="10"/>
      <c r="B83" s="16"/>
      <c r="C83" s="17"/>
      <c r="D83" s="22"/>
    </row>
    <row r="84" spans="1:4" x14ac:dyDescent="0.2">
      <c r="A84" s="10"/>
      <c r="B84" s="16"/>
      <c r="C84" s="17"/>
      <c r="D84" s="22"/>
    </row>
    <row r="85" spans="1:4" x14ac:dyDescent="0.2">
      <c r="A85" s="10"/>
      <c r="B85" s="16"/>
      <c r="C85" s="17"/>
      <c r="D85" s="22"/>
    </row>
    <row r="86" spans="1:4" x14ac:dyDescent="0.2">
      <c r="A86" s="10"/>
      <c r="B86" s="18"/>
      <c r="C86" s="17"/>
      <c r="D86" s="22"/>
    </row>
    <row r="87" spans="1:4" x14ac:dyDescent="0.2">
      <c r="A87" s="10"/>
      <c r="B87" s="18"/>
      <c r="C87" s="17"/>
      <c r="D87" s="22"/>
    </row>
    <row r="88" spans="1:4" x14ac:dyDescent="0.2">
      <c r="A88" s="10"/>
      <c r="B88" s="16"/>
      <c r="C88" s="17"/>
      <c r="D88" s="22"/>
    </row>
    <row r="89" spans="1:4" x14ac:dyDescent="0.2">
      <c r="A89" s="10"/>
      <c r="B89" s="16"/>
      <c r="C89" s="17"/>
      <c r="D89" s="22"/>
    </row>
    <row r="90" spans="1:4" x14ac:dyDescent="0.2">
      <c r="A90" s="10"/>
      <c r="B90" s="16"/>
      <c r="C90" s="17"/>
      <c r="D90" s="22"/>
    </row>
    <row r="91" spans="1:4" x14ac:dyDescent="0.2">
      <c r="A91" s="10"/>
      <c r="B91" s="18"/>
      <c r="C91" s="17"/>
      <c r="D91" s="22"/>
    </row>
    <row r="92" spans="1:4" x14ac:dyDescent="0.2">
      <c r="A92" s="10"/>
      <c r="B92" s="18"/>
      <c r="C92" s="17"/>
      <c r="D92" s="22"/>
    </row>
    <row r="93" spans="1:4" x14ac:dyDescent="0.2">
      <c r="A93" s="10"/>
      <c r="B93" s="18"/>
      <c r="C93" s="17"/>
      <c r="D93" s="22"/>
    </row>
    <row r="94" spans="1:4" x14ac:dyDescent="0.2">
      <c r="A94" s="10"/>
      <c r="B94" s="18"/>
      <c r="C94" s="17"/>
      <c r="D94" s="22"/>
    </row>
    <row r="95" spans="1:4" x14ac:dyDescent="0.2">
      <c r="A95" s="10"/>
      <c r="B95" s="18"/>
      <c r="C95" s="17"/>
      <c r="D95" s="22"/>
    </row>
    <row r="96" spans="1:4" x14ac:dyDescent="0.2">
      <c r="A96" s="10"/>
      <c r="B96" s="18"/>
      <c r="C96" s="17"/>
      <c r="D96" s="22"/>
    </row>
    <row r="97" spans="1:4" x14ac:dyDescent="0.2">
      <c r="A97" s="10"/>
      <c r="B97" s="18"/>
      <c r="C97" s="17"/>
      <c r="D97" s="22"/>
    </row>
    <row r="98" spans="1:4" x14ac:dyDescent="0.2">
      <c r="A98" s="10"/>
      <c r="B98" s="18"/>
      <c r="C98" s="17"/>
      <c r="D98" s="22"/>
    </row>
    <row r="99" spans="1:4" x14ac:dyDescent="0.2">
      <c r="A99" s="10"/>
      <c r="B99" s="18"/>
      <c r="C99" s="17"/>
      <c r="D99" s="22"/>
    </row>
    <row r="100" spans="1:4" x14ac:dyDescent="0.2">
      <c r="A100" s="10"/>
      <c r="B100" s="18"/>
      <c r="C100" s="17"/>
      <c r="D100" s="22"/>
    </row>
    <row r="101" spans="1:4" x14ac:dyDescent="0.2">
      <c r="A101" s="10"/>
      <c r="B101" s="16"/>
      <c r="C101" s="17"/>
      <c r="D101" s="22"/>
    </row>
    <row r="102" spans="1:4" x14ac:dyDescent="0.2">
      <c r="A102" s="10"/>
      <c r="B102" s="16"/>
      <c r="C102" s="17"/>
      <c r="D102" s="22"/>
    </row>
    <row r="103" spans="1:4" x14ac:dyDescent="0.2">
      <c r="A103" s="10"/>
      <c r="B103" s="16"/>
      <c r="C103" s="17"/>
      <c r="D103" s="22"/>
    </row>
    <row r="104" spans="1:4" x14ac:dyDescent="0.2">
      <c r="A104" s="10"/>
      <c r="B104" s="18"/>
      <c r="C104" s="17"/>
      <c r="D104" s="22"/>
    </row>
    <row r="105" spans="1:4" x14ac:dyDescent="0.2">
      <c r="A105" s="10"/>
      <c r="B105" s="18"/>
      <c r="C105" s="17"/>
      <c r="D105" s="22"/>
    </row>
    <row r="106" spans="1:4" x14ac:dyDescent="0.2">
      <c r="A106" s="10"/>
      <c r="B106" s="18"/>
      <c r="C106" s="17"/>
      <c r="D106" s="22"/>
    </row>
    <row r="107" spans="1:4" x14ac:dyDescent="0.2">
      <c r="A107" s="10"/>
      <c r="B107" s="16"/>
      <c r="C107" s="17"/>
      <c r="D107" s="22"/>
    </row>
    <row r="108" spans="1:4" x14ac:dyDescent="0.2">
      <c r="A108" s="10"/>
      <c r="B108" s="16"/>
      <c r="C108" s="17"/>
      <c r="D108" s="22"/>
    </row>
    <row r="109" spans="1:4" x14ac:dyDescent="0.2">
      <c r="A109" s="10"/>
      <c r="B109" s="16"/>
      <c r="C109" s="17"/>
      <c r="D109" s="22"/>
    </row>
    <row r="110" spans="1:4" x14ac:dyDescent="0.2">
      <c r="A110" s="10"/>
      <c r="B110" s="18"/>
      <c r="C110" s="17"/>
      <c r="D110" s="22"/>
    </row>
    <row r="111" spans="1:4" x14ac:dyDescent="0.2">
      <c r="A111" s="10"/>
      <c r="B111" s="18"/>
      <c r="C111" s="17"/>
      <c r="D111" s="22"/>
    </row>
    <row r="112" spans="1:4" x14ac:dyDescent="0.2">
      <c r="A112" s="10"/>
      <c r="B112" s="18"/>
      <c r="C112" s="17"/>
      <c r="D112" s="22"/>
    </row>
    <row r="113" spans="1:4" x14ac:dyDescent="0.2">
      <c r="A113" s="10"/>
      <c r="B113" s="18"/>
      <c r="C113" s="17"/>
      <c r="D113" s="22"/>
    </row>
    <row r="114" spans="1:4" x14ac:dyDescent="0.2">
      <c r="A114" s="10"/>
      <c r="B114" s="18"/>
      <c r="C114" s="17"/>
      <c r="D114" s="22"/>
    </row>
    <row r="115" spans="1:4" x14ac:dyDescent="0.2">
      <c r="A115" s="10"/>
      <c r="B115" s="14"/>
      <c r="C115" s="17"/>
      <c r="D115" s="22"/>
    </row>
    <row r="116" spans="1:4" x14ac:dyDescent="0.2">
      <c r="A116" s="10"/>
      <c r="B116" s="18"/>
      <c r="C116" s="17"/>
      <c r="D116" s="22"/>
    </row>
    <row r="117" spans="1:4" x14ac:dyDescent="0.2">
      <c r="A117" s="10"/>
      <c r="B117" s="18"/>
      <c r="C117" s="17"/>
      <c r="D117" s="22"/>
    </row>
    <row r="118" spans="1:4" x14ac:dyDescent="0.2">
      <c r="A118" s="10"/>
      <c r="B118" s="18"/>
      <c r="C118" s="17"/>
      <c r="D118" s="22"/>
    </row>
    <row r="119" spans="1:4" x14ac:dyDescent="0.2">
      <c r="A119" s="10"/>
      <c r="B119" s="16"/>
      <c r="C119" s="17"/>
      <c r="D119" s="22"/>
    </row>
    <row r="120" spans="1:4" x14ac:dyDescent="0.2">
      <c r="A120" s="10"/>
      <c r="B120" s="16"/>
      <c r="C120" s="17"/>
      <c r="D120" s="22"/>
    </row>
    <row r="121" spans="1:4" x14ac:dyDescent="0.2">
      <c r="A121" s="10"/>
      <c r="B121" s="16"/>
      <c r="C121" s="17"/>
      <c r="D121" s="22"/>
    </row>
    <row r="122" spans="1:4" x14ac:dyDescent="0.2">
      <c r="A122" s="10"/>
      <c r="B122" s="18"/>
      <c r="C122" s="17"/>
      <c r="D122" s="22"/>
    </row>
    <row r="123" spans="1:4" x14ac:dyDescent="0.2">
      <c r="A123" s="10"/>
      <c r="B123" s="18"/>
      <c r="C123" s="17"/>
      <c r="D123" s="22"/>
    </row>
    <row r="124" spans="1:4" x14ac:dyDescent="0.2">
      <c r="A124" s="10"/>
      <c r="B124" s="18"/>
      <c r="C124" s="17"/>
      <c r="D124" s="22"/>
    </row>
    <row r="125" spans="1:4" x14ac:dyDescent="0.2">
      <c r="A125" s="10"/>
      <c r="B125" s="18"/>
      <c r="C125" s="17"/>
      <c r="D125" s="22"/>
    </row>
    <row r="126" spans="1:4" x14ac:dyDescent="0.2">
      <c r="A126" s="10"/>
      <c r="B126" s="18"/>
      <c r="C126" s="17"/>
      <c r="D126" s="22"/>
    </row>
    <row r="127" spans="1:4" x14ac:dyDescent="0.2">
      <c r="A127" s="10"/>
      <c r="B127" s="18"/>
      <c r="C127" s="17"/>
      <c r="D127" s="22"/>
    </row>
    <row r="128" spans="1:4" x14ac:dyDescent="0.2">
      <c r="A128" s="10"/>
      <c r="B128" s="18"/>
      <c r="C128" s="17"/>
      <c r="D128" s="22"/>
    </row>
    <row r="129" spans="1:4" x14ac:dyDescent="0.2">
      <c r="A129" s="10"/>
      <c r="C129" s="17"/>
      <c r="D129" s="22"/>
    </row>
    <row r="130" spans="1:4" x14ac:dyDescent="0.2">
      <c r="A130" s="10"/>
      <c r="C130" s="17"/>
      <c r="D130" s="22"/>
    </row>
    <row r="131" spans="1:4" x14ac:dyDescent="0.2">
      <c r="A131" s="10"/>
      <c r="C131" s="17"/>
      <c r="D131" s="22"/>
    </row>
    <row r="132" spans="1:4" x14ac:dyDescent="0.2">
      <c r="A132" s="10"/>
      <c r="B132" s="14"/>
      <c r="C132" s="17"/>
      <c r="D132" s="22"/>
    </row>
    <row r="133" spans="1:4" x14ac:dyDescent="0.2">
      <c r="A133" s="10"/>
      <c r="B133" s="18"/>
      <c r="C133" s="17"/>
      <c r="D133" s="22"/>
    </row>
    <row r="134" spans="1:4" x14ac:dyDescent="0.2">
      <c r="A134" s="10"/>
      <c r="B134" s="18"/>
      <c r="C134" s="17"/>
      <c r="D134" s="22"/>
    </row>
    <row r="135" spans="1:4" x14ac:dyDescent="0.2">
      <c r="A135" s="10"/>
      <c r="C135" s="17"/>
      <c r="D135" s="22"/>
    </row>
    <row r="136" spans="1:4" x14ac:dyDescent="0.2">
      <c r="A136" s="10"/>
      <c r="B136" s="14"/>
      <c r="C136" s="17"/>
      <c r="D136" s="22"/>
    </row>
    <row r="137" spans="1:4" x14ac:dyDescent="0.2">
      <c r="A137" s="10"/>
      <c r="C137" s="17"/>
      <c r="D137" s="22"/>
    </row>
    <row r="138" spans="1:4" x14ac:dyDescent="0.2">
      <c r="A138" s="10"/>
      <c r="C138" s="17"/>
      <c r="D138" s="22"/>
    </row>
    <row r="139" spans="1:4" x14ac:dyDescent="0.2">
      <c r="A139" s="10"/>
      <c r="C139" s="17"/>
      <c r="D139" s="22"/>
    </row>
    <row r="140" spans="1:4" x14ac:dyDescent="0.2">
      <c r="A140" s="10"/>
      <c r="C140" s="17"/>
      <c r="D140" s="22"/>
    </row>
    <row r="141" spans="1:4" x14ac:dyDescent="0.2">
      <c r="A141" s="10"/>
      <c r="C141" s="17"/>
      <c r="D141" s="22"/>
    </row>
    <row r="142" spans="1:4" x14ac:dyDescent="0.2">
      <c r="A142" s="10"/>
      <c r="B142" s="14"/>
      <c r="C142" s="17"/>
      <c r="D142" s="22"/>
    </row>
    <row r="143" spans="1:4" x14ac:dyDescent="0.2">
      <c r="A143" s="10"/>
      <c r="C143" s="17"/>
      <c r="D143" s="22"/>
    </row>
    <row r="144" spans="1:4" x14ac:dyDescent="0.2">
      <c r="A144" s="10"/>
      <c r="C144" s="17"/>
      <c r="D144" s="22"/>
    </row>
    <row r="145" spans="1:6" x14ac:dyDescent="0.2">
      <c r="A145" s="10"/>
      <c r="C145" s="17"/>
      <c r="D145" s="22"/>
    </row>
    <row r="146" spans="1:6" x14ac:dyDescent="0.2">
      <c r="A146" s="10"/>
      <c r="C146" s="17"/>
      <c r="D146" s="22"/>
    </row>
    <row r="147" spans="1:6" x14ac:dyDescent="0.2">
      <c r="A147" s="10"/>
      <c r="C147" s="17"/>
      <c r="D147" s="22"/>
    </row>
    <row r="148" spans="1:6" x14ac:dyDescent="0.2">
      <c r="A148" s="10"/>
      <c r="C148" s="17"/>
      <c r="D148" s="22"/>
    </row>
    <row r="149" spans="1:6" x14ac:dyDescent="0.2">
      <c r="A149" s="10"/>
      <c r="C149" s="17"/>
      <c r="D149" s="22"/>
      <c r="F149" s="17"/>
    </row>
    <row r="150" spans="1:6" x14ac:dyDescent="0.2">
      <c r="A150" s="10"/>
      <c r="C150" s="17"/>
      <c r="D150" s="22"/>
    </row>
    <row r="151" spans="1:6" x14ac:dyDescent="0.2">
      <c r="A151" s="10"/>
      <c r="C151" s="17"/>
      <c r="D151" s="22"/>
    </row>
    <row r="152" spans="1:6" x14ac:dyDescent="0.2">
      <c r="A152" s="10"/>
      <c r="C152" s="17"/>
      <c r="D152" s="22"/>
    </row>
    <row r="153" spans="1:6" x14ac:dyDescent="0.2">
      <c r="A153" s="10"/>
      <c r="C153" s="17"/>
      <c r="D153" s="22"/>
    </row>
    <row r="154" spans="1:6" x14ac:dyDescent="0.2">
      <c r="A154" s="10"/>
      <c r="C154" s="17"/>
      <c r="D154" s="22"/>
    </row>
    <row r="155" spans="1:6" x14ac:dyDescent="0.2">
      <c r="A155" s="10"/>
      <c r="C155" s="17"/>
      <c r="D155" s="22"/>
    </row>
    <row r="156" spans="1:6" x14ac:dyDescent="0.2">
      <c r="A156" s="10"/>
      <c r="C156" s="17"/>
      <c r="D156" s="22"/>
    </row>
    <row r="157" spans="1:6" x14ac:dyDescent="0.2">
      <c r="A157" s="10"/>
      <c r="C157" s="17"/>
      <c r="D157" s="22"/>
    </row>
    <row r="158" spans="1:6" x14ac:dyDescent="0.2">
      <c r="A158" s="10"/>
      <c r="C158" s="17"/>
      <c r="D158" s="22"/>
    </row>
    <row r="159" spans="1:6" x14ac:dyDescent="0.2">
      <c r="A159" s="10"/>
      <c r="B159" s="18"/>
      <c r="C159" s="17"/>
      <c r="D159" s="22"/>
    </row>
    <row r="160" spans="1:6" x14ac:dyDescent="0.2">
      <c r="A160" s="10"/>
      <c r="C160" s="17"/>
      <c r="D160" s="22"/>
    </row>
    <row r="161" spans="1:4" x14ac:dyDescent="0.2">
      <c r="A161" s="10"/>
      <c r="C161" s="17"/>
      <c r="D161" s="22"/>
    </row>
    <row r="162" spans="1:4" x14ac:dyDescent="0.2">
      <c r="A162" s="10"/>
      <c r="C162" s="17"/>
      <c r="D162" s="22"/>
    </row>
    <row r="163" spans="1:4" x14ac:dyDescent="0.2">
      <c r="A163" s="10"/>
      <c r="C163" s="17"/>
      <c r="D163" s="22"/>
    </row>
    <row r="164" spans="1:4" x14ac:dyDescent="0.2">
      <c r="A164" s="10"/>
      <c r="C164" s="17"/>
      <c r="D164" s="22"/>
    </row>
    <row r="165" spans="1:4" x14ac:dyDescent="0.2">
      <c r="A165" s="10"/>
      <c r="C165" s="17"/>
      <c r="D165" s="22"/>
    </row>
    <row r="166" spans="1:4" x14ac:dyDescent="0.2">
      <c r="A166" s="10"/>
      <c r="C166" s="17"/>
      <c r="D166" s="22"/>
    </row>
    <row r="167" spans="1:4" x14ac:dyDescent="0.2">
      <c r="A167" s="10"/>
      <c r="C167" s="17"/>
      <c r="D167" s="22"/>
    </row>
    <row r="168" spans="1:4" x14ac:dyDescent="0.2">
      <c r="A168" s="10"/>
      <c r="C168" s="17"/>
      <c r="D168" s="22"/>
    </row>
    <row r="169" spans="1:4" x14ac:dyDescent="0.2">
      <c r="A169" s="10"/>
      <c r="C169" s="17"/>
      <c r="D169" s="22"/>
    </row>
    <row r="170" spans="1:4" x14ac:dyDescent="0.2">
      <c r="A170" s="10"/>
      <c r="C170" s="17"/>
      <c r="D170" s="22"/>
    </row>
    <row r="171" spans="1:4" x14ac:dyDescent="0.2">
      <c r="A171" s="10"/>
      <c r="B171" s="16"/>
      <c r="C171" s="17"/>
      <c r="D171" s="22"/>
    </row>
    <row r="172" spans="1:4" x14ac:dyDescent="0.2">
      <c r="A172" s="10"/>
      <c r="B172" s="16"/>
      <c r="C172" s="17"/>
      <c r="D172" s="22"/>
    </row>
    <row r="173" spans="1:4" x14ac:dyDescent="0.2">
      <c r="A173" s="10"/>
      <c r="B173" s="16"/>
      <c r="C173" s="17"/>
      <c r="D173" s="22"/>
    </row>
    <row r="174" spans="1:4" x14ac:dyDescent="0.2">
      <c r="A174" s="10"/>
      <c r="B174" s="16"/>
      <c r="C174" s="17"/>
      <c r="D174" s="22"/>
    </row>
    <row r="175" spans="1:4" x14ac:dyDescent="0.2">
      <c r="A175" s="10"/>
      <c r="B175" s="16"/>
      <c r="C175" s="17"/>
      <c r="D175" s="22"/>
    </row>
    <row r="176" spans="1:4" x14ac:dyDescent="0.2">
      <c r="A176" s="10"/>
      <c r="B176" s="16"/>
      <c r="C176" s="17"/>
      <c r="D176" s="22"/>
    </row>
  </sheetData>
  <pageMargins left="0.70866141732283472" right="0.70866141732283472" top="0.74803149606299213" bottom="0.74803149606299213" header="0.31496062992125984" footer="0.31496062992125984"/>
  <pageSetup paperSize="9" scale="9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pageSetUpPr fitToPage="1"/>
  </sheetPr>
  <dimension ref="A1:D50"/>
  <sheetViews>
    <sheetView zoomScaleNormal="100" workbookViewId="0">
      <selection activeCell="D6" sqref="D6:D40"/>
    </sheetView>
  </sheetViews>
  <sheetFormatPr defaultColWidth="11.44140625" defaultRowHeight="12.75" x14ac:dyDescent="0.2"/>
  <cols>
    <col min="1" max="1" width="8.33203125" bestFit="1" customWidth="1"/>
    <col min="2" max="2" width="49.88671875" bestFit="1" customWidth="1"/>
    <col min="3" max="3" width="13.6640625" bestFit="1" customWidth="1"/>
    <col min="4" max="4" width="14.6640625" customWidth="1"/>
  </cols>
  <sheetData>
    <row r="1" spans="1:4" ht="12" customHeight="1" x14ac:dyDescent="0.2">
      <c r="A1" s="8"/>
      <c r="B1" s="8"/>
      <c r="C1" s="8"/>
      <c r="D1" s="8"/>
    </row>
    <row r="2" spans="1:4" ht="18" customHeight="1" x14ac:dyDescent="0.25">
      <c r="B2" s="9" t="s">
        <v>11</v>
      </c>
      <c r="C2" s="4" t="s">
        <v>8</v>
      </c>
      <c r="D2" s="3">
        <f>Cotisations[[#Totals],[Avoir]]-Cotisations[[#Totals],[Doit]]</f>
        <v>1180</v>
      </c>
    </row>
    <row r="3" spans="1:4" ht="18" customHeight="1" x14ac:dyDescent="0.2">
      <c r="A3" s="5"/>
      <c r="C3" s="3">
        <f>Cotisations[[#Totals],[Doit]]</f>
        <v>0</v>
      </c>
      <c r="D3" s="3">
        <f>Cotisations[[#Totals],[Avoir]]</f>
        <v>1180</v>
      </c>
    </row>
    <row r="4" spans="1:4" ht="12" customHeight="1" x14ac:dyDescent="0.2">
      <c r="A4" s="5"/>
      <c r="C4" s="2"/>
      <c r="D4" s="2"/>
    </row>
    <row r="5" spans="1:4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2">
      <c r="A6" s="10">
        <v>44602</v>
      </c>
      <c r="B6" s="18" t="s">
        <v>30</v>
      </c>
      <c r="C6" s="17"/>
      <c r="D6" s="17">
        <v>30</v>
      </c>
    </row>
    <row r="7" spans="1:4" x14ac:dyDescent="0.2">
      <c r="A7" s="10">
        <v>44604</v>
      </c>
      <c r="B7" s="18" t="s">
        <v>54</v>
      </c>
      <c r="C7" s="17"/>
      <c r="D7" s="17">
        <v>60</v>
      </c>
    </row>
    <row r="8" spans="1:4" x14ac:dyDescent="0.2">
      <c r="A8" s="10">
        <v>44608</v>
      </c>
      <c r="B8" s="18" t="s">
        <v>31</v>
      </c>
      <c r="C8" s="17"/>
      <c r="D8" s="17">
        <v>30</v>
      </c>
    </row>
    <row r="9" spans="1:4" x14ac:dyDescent="0.2">
      <c r="A9" s="10">
        <v>44617</v>
      </c>
      <c r="B9" s="18" t="s">
        <v>35</v>
      </c>
      <c r="C9" s="17"/>
      <c r="D9" s="17">
        <v>30</v>
      </c>
    </row>
    <row r="10" spans="1:4" x14ac:dyDescent="0.2">
      <c r="A10" s="10">
        <v>44617</v>
      </c>
      <c r="B10" s="18" t="s">
        <v>36</v>
      </c>
      <c r="C10" s="17"/>
      <c r="D10" s="17">
        <v>60</v>
      </c>
    </row>
    <row r="11" spans="1:4" x14ac:dyDescent="0.2">
      <c r="A11" s="10">
        <v>44617</v>
      </c>
      <c r="B11" s="18" t="s">
        <v>38</v>
      </c>
      <c r="C11" s="17"/>
      <c r="D11" s="17">
        <v>30</v>
      </c>
    </row>
    <row r="12" spans="1:4" x14ac:dyDescent="0.2">
      <c r="A12" s="10">
        <v>44618</v>
      </c>
      <c r="B12" s="18" t="s">
        <v>39</v>
      </c>
      <c r="C12" s="17"/>
      <c r="D12" s="17">
        <v>30</v>
      </c>
    </row>
    <row r="13" spans="1:4" x14ac:dyDescent="0.2">
      <c r="A13" s="10">
        <v>44618</v>
      </c>
      <c r="B13" s="18" t="s">
        <v>40</v>
      </c>
      <c r="C13" s="17"/>
      <c r="D13" s="17">
        <v>30</v>
      </c>
    </row>
    <row r="14" spans="1:4" x14ac:dyDescent="0.2">
      <c r="A14" s="10">
        <v>44618</v>
      </c>
      <c r="B14" s="18" t="s">
        <v>41</v>
      </c>
      <c r="C14" s="17"/>
      <c r="D14" s="17">
        <v>30</v>
      </c>
    </row>
    <row r="15" spans="1:4" x14ac:dyDescent="0.2">
      <c r="A15" s="10">
        <v>44618</v>
      </c>
      <c r="B15" s="18" t="s">
        <v>42</v>
      </c>
      <c r="C15" s="17"/>
      <c r="D15" s="17">
        <v>30</v>
      </c>
    </row>
    <row r="16" spans="1:4" x14ac:dyDescent="0.2">
      <c r="A16" s="10">
        <v>44621</v>
      </c>
      <c r="B16" s="18" t="s">
        <v>43</v>
      </c>
      <c r="C16" s="17"/>
      <c r="D16" s="17">
        <v>30</v>
      </c>
    </row>
    <row r="17" spans="1:4" x14ac:dyDescent="0.2">
      <c r="A17" s="10">
        <v>44621</v>
      </c>
      <c r="B17" s="18" t="s">
        <v>44</v>
      </c>
      <c r="C17" s="17"/>
      <c r="D17" s="17">
        <v>30</v>
      </c>
    </row>
    <row r="18" spans="1:4" x14ac:dyDescent="0.2">
      <c r="A18" s="10">
        <v>44621</v>
      </c>
      <c r="B18" s="18" t="s">
        <v>45</v>
      </c>
      <c r="C18" s="17"/>
      <c r="D18" s="17">
        <v>30</v>
      </c>
    </row>
    <row r="19" spans="1:4" x14ac:dyDescent="0.2">
      <c r="A19" s="10">
        <v>44621</v>
      </c>
      <c r="B19" s="18" t="s">
        <v>46</v>
      </c>
      <c r="C19" s="17"/>
      <c r="D19" s="17">
        <v>30</v>
      </c>
    </row>
    <row r="20" spans="1:4" x14ac:dyDescent="0.2">
      <c r="A20" s="10">
        <v>44622</v>
      </c>
      <c r="B20" s="18" t="s">
        <v>48</v>
      </c>
      <c r="C20" s="17"/>
      <c r="D20" s="17">
        <v>30</v>
      </c>
    </row>
    <row r="21" spans="1:4" x14ac:dyDescent="0.2">
      <c r="A21" s="10">
        <v>44626</v>
      </c>
      <c r="B21" s="18" t="s">
        <v>32</v>
      </c>
      <c r="C21" s="17"/>
      <c r="D21" s="17">
        <v>30</v>
      </c>
    </row>
    <row r="22" spans="1:4" x14ac:dyDescent="0.2">
      <c r="A22" s="10">
        <v>44626</v>
      </c>
      <c r="B22" s="18" t="s">
        <v>49</v>
      </c>
      <c r="C22" s="15"/>
      <c r="D22" s="17">
        <v>30</v>
      </c>
    </row>
    <row r="23" spans="1:4" x14ac:dyDescent="0.2">
      <c r="A23" s="10">
        <v>44626</v>
      </c>
      <c r="B23" s="18" t="s">
        <v>50</v>
      </c>
      <c r="C23" s="17"/>
      <c r="D23" s="17">
        <v>30</v>
      </c>
    </row>
    <row r="24" spans="1:4" x14ac:dyDescent="0.2">
      <c r="A24" s="10">
        <v>44626</v>
      </c>
      <c r="B24" s="18" t="s">
        <v>55</v>
      </c>
      <c r="C24" s="17"/>
      <c r="D24" s="17">
        <v>30</v>
      </c>
    </row>
    <row r="25" spans="1:4" x14ac:dyDescent="0.2">
      <c r="A25" s="10">
        <v>44626</v>
      </c>
      <c r="B25" s="18" t="s">
        <v>56</v>
      </c>
      <c r="C25" s="17"/>
      <c r="D25" s="17">
        <v>30</v>
      </c>
    </row>
    <row r="26" spans="1:4" x14ac:dyDescent="0.2">
      <c r="A26" s="10">
        <v>44626</v>
      </c>
      <c r="B26" s="18" t="s">
        <v>57</v>
      </c>
      <c r="C26" s="17"/>
      <c r="D26" s="17">
        <v>30</v>
      </c>
    </row>
    <row r="27" spans="1:4" x14ac:dyDescent="0.2">
      <c r="A27" s="10">
        <v>44626</v>
      </c>
      <c r="B27" s="18" t="s">
        <v>58</v>
      </c>
      <c r="C27" s="17"/>
      <c r="D27" s="17">
        <v>40</v>
      </c>
    </row>
    <row r="28" spans="1:4" x14ac:dyDescent="0.2">
      <c r="A28" s="10">
        <v>44626</v>
      </c>
      <c r="B28" s="18" t="s">
        <v>59</v>
      </c>
      <c r="C28" s="17"/>
      <c r="D28" s="17">
        <v>30</v>
      </c>
    </row>
    <row r="29" spans="1:4" x14ac:dyDescent="0.2">
      <c r="A29" s="10">
        <v>44626</v>
      </c>
      <c r="B29" s="18" t="s">
        <v>60</v>
      </c>
      <c r="C29" s="17"/>
      <c r="D29" s="17">
        <v>60</v>
      </c>
    </row>
    <row r="30" spans="1:4" x14ac:dyDescent="0.2">
      <c r="A30" s="10">
        <v>44626</v>
      </c>
      <c r="B30" s="18" t="s">
        <v>61</v>
      </c>
      <c r="C30" s="17"/>
      <c r="D30" s="17">
        <v>30</v>
      </c>
    </row>
    <row r="31" spans="1:4" x14ac:dyDescent="0.2">
      <c r="A31" s="10">
        <v>44626</v>
      </c>
      <c r="B31" s="18" t="s">
        <v>63</v>
      </c>
      <c r="C31" s="17"/>
      <c r="D31" s="17">
        <v>30</v>
      </c>
    </row>
    <row r="32" spans="1:4" x14ac:dyDescent="0.2">
      <c r="A32" s="10">
        <v>44626</v>
      </c>
      <c r="B32" s="18" t="s">
        <v>62</v>
      </c>
      <c r="C32" s="17"/>
      <c r="D32" s="17">
        <v>30</v>
      </c>
    </row>
    <row r="33" spans="1:4" x14ac:dyDescent="0.2">
      <c r="A33" s="10">
        <v>44626</v>
      </c>
      <c r="B33" s="18" t="s">
        <v>64</v>
      </c>
      <c r="C33" s="17"/>
      <c r="D33" s="17">
        <v>30</v>
      </c>
    </row>
    <row r="34" spans="1:4" x14ac:dyDescent="0.2">
      <c r="A34" s="10">
        <v>44626</v>
      </c>
      <c r="B34" s="18" t="s">
        <v>65</v>
      </c>
      <c r="C34" s="17"/>
      <c r="D34" s="17">
        <v>30</v>
      </c>
    </row>
    <row r="35" spans="1:4" x14ac:dyDescent="0.2">
      <c r="A35" s="10">
        <v>44645</v>
      </c>
      <c r="B35" s="18" t="s">
        <v>70</v>
      </c>
      <c r="C35" s="17"/>
      <c r="D35" s="17">
        <v>30</v>
      </c>
    </row>
    <row r="36" spans="1:4" x14ac:dyDescent="0.2">
      <c r="A36" s="10">
        <v>44646</v>
      </c>
      <c r="B36" s="18" t="s">
        <v>73</v>
      </c>
      <c r="C36" s="17"/>
      <c r="D36" s="17">
        <v>30</v>
      </c>
    </row>
    <row r="37" spans="1:4" x14ac:dyDescent="0.2">
      <c r="A37" s="10">
        <v>44652</v>
      </c>
      <c r="B37" s="16" t="s">
        <v>78</v>
      </c>
      <c r="C37" s="17"/>
      <c r="D37" s="17">
        <v>60</v>
      </c>
    </row>
    <row r="38" spans="1:4" x14ac:dyDescent="0.2">
      <c r="A38" s="10">
        <v>44657</v>
      </c>
      <c r="B38" s="18" t="s">
        <v>79</v>
      </c>
      <c r="C38" s="17"/>
      <c r="D38" s="17">
        <v>30</v>
      </c>
    </row>
    <row r="39" spans="1:4" x14ac:dyDescent="0.2">
      <c r="A39" s="10">
        <v>44677</v>
      </c>
      <c r="B39" s="18" t="s">
        <v>81</v>
      </c>
      <c r="C39" s="17"/>
      <c r="D39" s="17">
        <v>30</v>
      </c>
    </row>
    <row r="40" spans="1:4" x14ac:dyDescent="0.2">
      <c r="A40" s="10">
        <v>44691</v>
      </c>
      <c r="B40" s="18" t="s">
        <v>93</v>
      </c>
      <c r="C40" s="17"/>
      <c r="D40" s="17">
        <v>30</v>
      </c>
    </row>
    <row r="41" spans="1:4" x14ac:dyDescent="0.2">
      <c r="A41" s="10"/>
      <c r="B41" s="18"/>
      <c r="C41" s="17"/>
      <c r="D41" s="17"/>
    </row>
    <row r="42" spans="1:4" x14ac:dyDescent="0.2">
      <c r="A42" s="10"/>
      <c r="B42" s="18"/>
      <c r="C42" s="17"/>
      <c r="D42" s="17"/>
    </row>
    <row r="43" spans="1:4" x14ac:dyDescent="0.2">
      <c r="A43" s="10"/>
      <c r="B43" s="18"/>
      <c r="C43" s="17"/>
      <c r="D43" s="17"/>
    </row>
    <row r="44" spans="1:4" x14ac:dyDescent="0.2">
      <c r="A44" s="10"/>
      <c r="B44" s="18"/>
      <c r="C44" s="17"/>
      <c r="D44" s="17"/>
    </row>
    <row r="45" spans="1:4" x14ac:dyDescent="0.2">
      <c r="A45" s="10"/>
      <c r="B45" s="18"/>
      <c r="C45" s="17"/>
      <c r="D45" s="17"/>
    </row>
    <row r="46" spans="1:4" x14ac:dyDescent="0.2">
      <c r="A46" s="10"/>
      <c r="C46" s="17"/>
      <c r="D46" s="17"/>
    </row>
    <row r="47" spans="1:4" x14ac:dyDescent="0.2">
      <c r="A47" s="10"/>
      <c r="B47" s="16"/>
      <c r="C47" s="17"/>
      <c r="D47" s="17"/>
    </row>
    <row r="48" spans="1:4" x14ac:dyDescent="0.2">
      <c r="A48" s="10"/>
      <c r="B48" s="16"/>
      <c r="C48" s="17"/>
      <c r="D48" s="17"/>
    </row>
    <row r="49" spans="1:4" x14ac:dyDescent="0.2">
      <c r="A49" s="10"/>
      <c r="B49" s="16"/>
      <c r="C49" s="17"/>
      <c r="D49" s="17"/>
    </row>
    <row r="50" spans="1:4" x14ac:dyDescent="0.2">
      <c r="A50" s="1" t="s">
        <v>8</v>
      </c>
      <c r="B50" s="20"/>
      <c r="C50" s="17">
        <f>SUBTOTAL(109,Cotisations[Doit])</f>
        <v>0</v>
      </c>
      <c r="D50" s="17">
        <f>SUBTOTAL(109,Cotisations[Avoir])</f>
        <v>1180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>
    <pageSetUpPr fitToPage="1"/>
  </sheetPr>
  <dimension ref="A1:H42"/>
  <sheetViews>
    <sheetView zoomScaleNormal="100" workbookViewId="0">
      <selection activeCell="G11" sqref="G11"/>
    </sheetView>
  </sheetViews>
  <sheetFormatPr defaultColWidth="11.44140625" defaultRowHeight="12.75" x14ac:dyDescent="0.2"/>
  <cols>
    <col min="1" max="1" width="8.33203125" bestFit="1" customWidth="1"/>
    <col min="2" max="2" width="51.6640625" bestFit="1" customWidth="1"/>
    <col min="3" max="3" width="14.6640625" bestFit="1" customWidth="1"/>
    <col min="4" max="4" width="15.109375" customWidth="1"/>
    <col min="5" max="5" width="15" bestFit="1" customWidth="1"/>
    <col min="7" max="7" width="12.109375" bestFit="1" customWidth="1"/>
  </cols>
  <sheetData>
    <row r="1" spans="1:5" ht="12" customHeight="1" x14ac:dyDescent="0.2">
      <c r="A1" s="8"/>
      <c r="B1" s="8"/>
      <c r="C1" s="8"/>
      <c r="D1" s="8"/>
    </row>
    <row r="2" spans="1:5" ht="18" customHeight="1" x14ac:dyDescent="0.25">
      <c r="B2" s="9" t="s">
        <v>10</v>
      </c>
      <c r="C2" s="4" t="s">
        <v>8</v>
      </c>
      <c r="D2" s="3">
        <f>Caisse[[#Totals],[Avoir]]-Caisse[[#Totals],[Doit]]</f>
        <v>3177.8</v>
      </c>
    </row>
    <row r="3" spans="1:5" ht="18" customHeight="1" x14ac:dyDescent="0.2">
      <c r="A3" s="5"/>
      <c r="C3" s="3">
        <f>Caisse[[#Totals],[Doit]]</f>
        <v>2037.3</v>
      </c>
      <c r="D3" s="3">
        <f>Caisse[[#Totals],[Avoir]]</f>
        <v>5215.1000000000004</v>
      </c>
    </row>
    <row r="4" spans="1:5" ht="12" customHeight="1" x14ac:dyDescent="0.2">
      <c r="A4" s="5"/>
      <c r="C4" s="2"/>
      <c r="D4" s="2"/>
    </row>
    <row r="5" spans="1:5" x14ac:dyDescent="0.2">
      <c r="A5" s="12" t="s">
        <v>4</v>
      </c>
      <c r="B5" s="5" t="s">
        <v>5</v>
      </c>
      <c r="C5" s="13" t="s">
        <v>6</v>
      </c>
      <c r="D5" s="13" t="s">
        <v>7</v>
      </c>
      <c r="E5" t="s">
        <v>16</v>
      </c>
    </row>
    <row r="6" spans="1:5" x14ac:dyDescent="0.2">
      <c r="A6" s="11">
        <v>44561</v>
      </c>
      <c r="B6" s="16" t="s">
        <v>21</v>
      </c>
      <c r="C6" s="15"/>
      <c r="D6" s="17">
        <v>1521.3</v>
      </c>
      <c r="E6" s="17">
        <f>SUM(INDEX(Caisse[Avoir],1):Caisse[[#This Row],[Avoir]])-SUM(INDEX(Caisse[Doit],1):Caisse[[#This Row],[Doit]])</f>
        <v>1521.3</v>
      </c>
    </row>
    <row r="7" spans="1:5" x14ac:dyDescent="0.2">
      <c r="A7" s="10">
        <v>44626</v>
      </c>
      <c r="B7" s="18" t="s">
        <v>32</v>
      </c>
      <c r="C7" s="17"/>
      <c r="D7" s="17">
        <v>30</v>
      </c>
      <c r="E7" s="17">
        <f>SUM(INDEX(Caisse[Avoir],1):Caisse[[#This Row],[Avoir]])-SUM(INDEX(Caisse[Doit],1):Caisse[[#This Row],[Doit]])</f>
        <v>1551.3</v>
      </c>
    </row>
    <row r="8" spans="1:5" x14ac:dyDescent="0.2">
      <c r="A8" s="10">
        <v>44626</v>
      </c>
      <c r="B8" s="18" t="s">
        <v>33</v>
      </c>
      <c r="C8" s="17">
        <v>167</v>
      </c>
      <c r="D8" s="17"/>
      <c r="E8" s="17">
        <f>SUM(INDEX(Caisse[Avoir],1):Caisse[[#This Row],[Avoir]])-SUM(INDEX(Caisse[Doit],1):Caisse[[#This Row],[Doit]])</f>
        <v>1384.3</v>
      </c>
    </row>
    <row r="9" spans="1:5" x14ac:dyDescent="0.2">
      <c r="A9" s="10">
        <v>44626</v>
      </c>
      <c r="B9" s="18" t="s">
        <v>49</v>
      </c>
      <c r="C9" s="17"/>
      <c r="D9" s="17">
        <v>30</v>
      </c>
      <c r="E9" s="17">
        <f>SUM(INDEX(Caisse[Avoir],1):Caisse[[#This Row],[Avoir]])-SUM(INDEX(Caisse[Doit],1):Caisse[[#This Row],[Doit]])</f>
        <v>1414.3</v>
      </c>
    </row>
    <row r="10" spans="1:5" x14ac:dyDescent="0.2">
      <c r="A10" s="10">
        <v>44626</v>
      </c>
      <c r="B10" s="18" t="s">
        <v>50</v>
      </c>
      <c r="C10" s="17"/>
      <c r="D10" s="17">
        <v>30</v>
      </c>
      <c r="E10" s="17">
        <f>SUM(INDEX(Caisse[Avoir],1):Caisse[[#This Row],[Avoir]])-SUM(INDEX(Caisse[Doit],1):Caisse[[#This Row],[Doit]])</f>
        <v>1444.3</v>
      </c>
    </row>
    <row r="11" spans="1:5" x14ac:dyDescent="0.2">
      <c r="A11" s="10">
        <v>44626</v>
      </c>
      <c r="B11" s="18" t="s">
        <v>51</v>
      </c>
      <c r="C11" s="17">
        <v>10</v>
      </c>
      <c r="D11" s="17"/>
      <c r="E11" s="17">
        <f>SUM(INDEX(Caisse[Avoir],1):Caisse[[#This Row],[Avoir]])-SUM(INDEX(Caisse[Doit],1):Caisse[[#This Row],[Doit]])</f>
        <v>1434.3</v>
      </c>
    </row>
    <row r="12" spans="1:5" x14ac:dyDescent="0.2">
      <c r="A12" s="10">
        <v>44626</v>
      </c>
      <c r="B12" s="18" t="s">
        <v>52</v>
      </c>
      <c r="C12" s="17">
        <v>295</v>
      </c>
      <c r="D12" s="17"/>
      <c r="E12" s="17">
        <f>SUM(INDEX(Caisse[Avoir],1):Caisse[[#This Row],[Avoir]])-SUM(INDEX(Caisse[Doit],1):Caisse[[#This Row],[Doit]])</f>
        <v>1139.3</v>
      </c>
    </row>
    <row r="13" spans="1:5" x14ac:dyDescent="0.2">
      <c r="A13" s="10">
        <v>44626</v>
      </c>
      <c r="B13" s="18" t="s">
        <v>55</v>
      </c>
      <c r="C13" s="17"/>
      <c r="D13" s="17">
        <v>30</v>
      </c>
      <c r="E13" s="17">
        <f>SUM(INDEX(Caisse[Avoir],1):Caisse[[#This Row],[Avoir]])-SUM(INDEX(Caisse[Doit],1):Caisse[[#This Row],[Doit]])</f>
        <v>1169.3</v>
      </c>
    </row>
    <row r="14" spans="1:5" x14ac:dyDescent="0.2">
      <c r="A14" s="10">
        <v>44626</v>
      </c>
      <c r="B14" s="18" t="s">
        <v>56</v>
      </c>
      <c r="C14" s="17"/>
      <c r="D14" s="17">
        <v>30</v>
      </c>
      <c r="E14" s="17">
        <f>SUM(INDEX(Caisse[Avoir],1):Caisse[[#This Row],[Avoir]])-SUM(INDEX(Caisse[Doit],1):Caisse[[#This Row],[Doit]])</f>
        <v>1199.3</v>
      </c>
    </row>
    <row r="15" spans="1:5" x14ac:dyDescent="0.2">
      <c r="A15" s="10">
        <v>44626</v>
      </c>
      <c r="B15" s="18" t="s">
        <v>57</v>
      </c>
      <c r="C15" s="17"/>
      <c r="D15" s="17">
        <v>30</v>
      </c>
      <c r="E15" s="17">
        <f>SUM(INDEX(Caisse[Avoir],1):Caisse[[#This Row],[Avoir]])-SUM(INDEX(Caisse[Doit],1):Caisse[[#This Row],[Doit]])</f>
        <v>1229.3</v>
      </c>
    </row>
    <row r="16" spans="1:5" x14ac:dyDescent="0.2">
      <c r="A16" s="10">
        <v>44626</v>
      </c>
      <c r="B16" s="18" t="s">
        <v>58</v>
      </c>
      <c r="C16" s="17"/>
      <c r="D16" s="17">
        <v>40</v>
      </c>
      <c r="E16" s="17">
        <f>SUM(INDEX(Caisse[Avoir],1):Caisse[[#This Row],[Avoir]])-SUM(INDEX(Caisse[Doit],1):Caisse[[#This Row],[Doit]])</f>
        <v>1269.3</v>
      </c>
    </row>
    <row r="17" spans="1:5" x14ac:dyDescent="0.2">
      <c r="A17" s="10">
        <v>44626</v>
      </c>
      <c r="B17" s="18" t="s">
        <v>59</v>
      </c>
      <c r="C17" s="17"/>
      <c r="D17" s="17">
        <v>30</v>
      </c>
      <c r="E17" s="17">
        <f>SUM(INDEX(Caisse[Avoir],1):Caisse[[#This Row],[Avoir]])-SUM(INDEX(Caisse[Doit],1):Caisse[[#This Row],[Doit]])</f>
        <v>1299.3</v>
      </c>
    </row>
    <row r="18" spans="1:5" x14ac:dyDescent="0.2">
      <c r="A18" s="10">
        <v>44626</v>
      </c>
      <c r="B18" s="18" t="s">
        <v>60</v>
      </c>
      <c r="C18" s="17"/>
      <c r="D18" s="17">
        <v>60</v>
      </c>
      <c r="E18" s="17">
        <f>SUM(INDEX(Caisse[Avoir],1):Caisse[[#This Row],[Avoir]])-SUM(INDEX(Caisse[Doit],1):Caisse[[#This Row],[Doit]])</f>
        <v>1359.3</v>
      </c>
    </row>
    <row r="19" spans="1:5" x14ac:dyDescent="0.2">
      <c r="A19" s="10">
        <v>44626</v>
      </c>
      <c r="B19" s="18" t="s">
        <v>64</v>
      </c>
      <c r="C19" s="17"/>
      <c r="D19" s="17">
        <v>30</v>
      </c>
      <c r="E19" s="17">
        <f>SUM(INDEX(Caisse[Avoir],1):Caisse[[#This Row],[Avoir]])-SUM(INDEX(Caisse[Doit],1):Caisse[[#This Row],[Doit]])</f>
        <v>1389.3</v>
      </c>
    </row>
    <row r="20" spans="1:5" x14ac:dyDescent="0.2">
      <c r="A20" s="10">
        <v>44626</v>
      </c>
      <c r="B20" s="18" t="s">
        <v>65</v>
      </c>
      <c r="C20" s="17"/>
      <c r="D20" s="17">
        <v>30</v>
      </c>
      <c r="E20" s="17">
        <f>SUM(INDEX(Caisse[Avoir],1):Caisse[[#This Row],[Avoir]])-SUM(INDEX(Caisse[Doit],1):Caisse[[#This Row],[Doit]])</f>
        <v>1419.3</v>
      </c>
    </row>
    <row r="21" spans="1:5" x14ac:dyDescent="0.2">
      <c r="A21" s="10">
        <v>44647</v>
      </c>
      <c r="B21" s="18" t="s">
        <v>74</v>
      </c>
      <c r="C21" s="17">
        <v>41</v>
      </c>
      <c r="D21" s="17"/>
      <c r="E21" s="17">
        <f>SUM(INDEX(Caisse[Avoir],1):Caisse[[#This Row],[Avoir]])-SUM(INDEX(Caisse[Doit],1):Caisse[[#This Row],[Doit]])</f>
        <v>1378.3</v>
      </c>
    </row>
    <row r="22" spans="1:5" x14ac:dyDescent="0.2">
      <c r="A22" s="10">
        <v>44768</v>
      </c>
      <c r="B22" s="18" t="s">
        <v>82</v>
      </c>
      <c r="C22" s="17"/>
      <c r="D22" s="17">
        <v>650</v>
      </c>
      <c r="E22" s="17">
        <f>SUM(INDEX(Caisse[Avoir],1):Caisse[[#This Row],[Avoir]])-SUM(INDEX(Caisse[Doit],1):Caisse[[#This Row],[Doit]])</f>
        <v>2028.3000000000002</v>
      </c>
    </row>
    <row r="23" spans="1:5" x14ac:dyDescent="0.2">
      <c r="A23" s="10">
        <v>44682</v>
      </c>
      <c r="B23" s="18" t="s">
        <v>89</v>
      </c>
      <c r="C23" s="17"/>
      <c r="D23" s="17">
        <v>2673.8</v>
      </c>
      <c r="E23" s="17">
        <f>SUM(INDEX(Caisse[Avoir],1):Caisse[[#This Row],[Avoir]])-SUM(INDEX(Caisse[Doit],1):Caisse[[#This Row],[Doit]])</f>
        <v>4702.1000000000004</v>
      </c>
    </row>
    <row r="24" spans="1:5" x14ac:dyDescent="0.2">
      <c r="A24" s="10">
        <v>44683</v>
      </c>
      <c r="B24" s="18" t="s">
        <v>86</v>
      </c>
      <c r="C24" s="17">
        <v>262.3</v>
      </c>
      <c r="D24" s="17"/>
      <c r="E24" s="17">
        <f>SUM(INDEX(Caisse[Avoir],1):Caisse[[#This Row],[Avoir]])-SUM(INDEX(Caisse[Doit],1):Caisse[[#This Row],[Doit]])</f>
        <v>4439.8</v>
      </c>
    </row>
    <row r="25" spans="1:5" x14ac:dyDescent="0.2">
      <c r="A25" s="10">
        <v>44683</v>
      </c>
      <c r="B25" s="18" t="s">
        <v>87</v>
      </c>
      <c r="C25" s="17">
        <v>102</v>
      </c>
      <c r="D25" s="17"/>
      <c r="E25" s="17">
        <f>SUM(INDEX(Caisse[Avoir],1):Caisse[[#This Row],[Avoir]])-SUM(INDEX(Caisse[Doit],1):Caisse[[#This Row],[Doit]])</f>
        <v>4337.8</v>
      </c>
    </row>
    <row r="26" spans="1:5" x14ac:dyDescent="0.2">
      <c r="A26" s="10">
        <v>44684</v>
      </c>
      <c r="B26" s="18" t="s">
        <v>88</v>
      </c>
      <c r="C26" s="17">
        <v>1160</v>
      </c>
      <c r="D26" s="17"/>
      <c r="E26" s="17">
        <f>SUM(INDEX(Caisse[Avoir],1):Caisse[[#This Row],[Avoir]])-SUM(INDEX(Caisse[Doit],1):Caisse[[#This Row],[Doit]])</f>
        <v>3177.8</v>
      </c>
    </row>
    <row r="27" spans="1:5" x14ac:dyDescent="0.2">
      <c r="A27" s="10"/>
      <c r="B27" s="18"/>
      <c r="C27" s="17"/>
      <c r="D27" s="15"/>
      <c r="E27" s="17">
        <f>SUM(INDEX(Caisse[Avoir],1):Caisse[[#This Row],[Avoir]])-SUM(INDEX(Caisse[Doit],1):Caisse[[#This Row],[Doit]])</f>
        <v>3177.8</v>
      </c>
    </row>
    <row r="28" spans="1:5" x14ac:dyDescent="0.2">
      <c r="A28" s="10"/>
      <c r="B28" s="18"/>
      <c r="C28" s="17"/>
      <c r="D28" s="17"/>
      <c r="E28" s="17">
        <f>SUM(INDEX(Caisse[Avoir],1):Caisse[[#This Row],[Avoir]])-SUM(INDEX(Caisse[Doit],1):Caisse[[#This Row],[Doit]])</f>
        <v>3177.8</v>
      </c>
    </row>
    <row r="29" spans="1:5" x14ac:dyDescent="0.2">
      <c r="A29" s="10"/>
      <c r="B29" s="18"/>
      <c r="C29" s="17"/>
      <c r="D29" s="17"/>
      <c r="E29" s="17">
        <f>SUM(INDEX(Caisse[Avoir],1):Caisse[[#This Row],[Avoir]])-SUM(INDEX(Caisse[Doit],1):Caisse[[#This Row],[Doit]])</f>
        <v>3177.8</v>
      </c>
    </row>
    <row r="30" spans="1:5" x14ac:dyDescent="0.2">
      <c r="A30" s="10"/>
      <c r="B30" s="18"/>
      <c r="C30" s="17"/>
      <c r="D30" s="17"/>
      <c r="E30" s="17">
        <f>SUM(INDEX(Caisse[Avoir],1):Caisse[[#This Row],[Avoir]])-SUM(INDEX(Caisse[Doit],1):Caisse[[#This Row],[Doit]])</f>
        <v>3177.8</v>
      </c>
    </row>
    <row r="31" spans="1:5" x14ac:dyDescent="0.2">
      <c r="A31" s="10"/>
      <c r="B31" s="18"/>
      <c r="C31" s="17"/>
      <c r="D31" s="17"/>
      <c r="E31" s="17">
        <f>SUM(INDEX(Caisse[Avoir],1):Caisse[[#This Row],[Avoir]])-SUM(INDEX(Caisse[Doit],1):Caisse[[#This Row],[Doit]])</f>
        <v>3177.8</v>
      </c>
    </row>
    <row r="32" spans="1:5" x14ac:dyDescent="0.2">
      <c r="A32" s="10"/>
      <c r="B32" s="18">
        <v>0</v>
      </c>
      <c r="C32" s="17"/>
      <c r="D32" s="17"/>
      <c r="E32" s="17">
        <f>SUM(INDEX(Caisse[Avoir],1):Caisse[[#This Row],[Avoir]])-SUM(INDEX(Caisse[Doit],1):Caisse[[#This Row],[Doit]])</f>
        <v>3177.8</v>
      </c>
    </row>
    <row r="33" spans="1:8" x14ac:dyDescent="0.2">
      <c r="A33" s="10"/>
      <c r="B33" s="18"/>
      <c r="C33" s="17"/>
      <c r="D33" s="17"/>
      <c r="E33" s="17">
        <f>SUM(INDEX(Caisse[Avoir],1):Caisse[[#This Row],[Avoir]])-SUM(INDEX(Caisse[Doit],1):Caisse[[#This Row],[Doit]])</f>
        <v>3177.8</v>
      </c>
    </row>
    <row r="34" spans="1:8" x14ac:dyDescent="0.2">
      <c r="A34" s="10"/>
      <c r="C34" s="17"/>
      <c r="D34" s="17"/>
      <c r="E34" s="17">
        <f>SUM(INDEX(Caisse[Avoir],1):Caisse[[#This Row],[Avoir]])-SUM(INDEX(Caisse[Doit],1):Caisse[[#This Row],[Doit]])</f>
        <v>3177.8</v>
      </c>
      <c r="H34" s="17"/>
    </row>
    <row r="35" spans="1:8" x14ac:dyDescent="0.2">
      <c r="A35" s="10"/>
      <c r="C35" s="17"/>
      <c r="D35" s="17"/>
      <c r="E35" s="17">
        <f>SUM(INDEX(Caisse[Avoir],1):Caisse[[#This Row],[Avoir]])-SUM(INDEX(Caisse[Doit],1):Caisse[[#This Row],[Doit]])</f>
        <v>3177.8</v>
      </c>
    </row>
    <row r="36" spans="1:8" x14ac:dyDescent="0.2">
      <c r="A36" s="10"/>
      <c r="B36" s="14"/>
      <c r="C36" s="17"/>
      <c r="D36" s="17"/>
      <c r="E36" s="17">
        <f>SUM(INDEX(Caisse[Avoir],1):Caisse[[#This Row],[Avoir]])-SUM(INDEX(Caisse[Doit],1):Caisse[[#This Row],[Doit]])</f>
        <v>3177.8</v>
      </c>
    </row>
    <row r="37" spans="1:8" x14ac:dyDescent="0.2">
      <c r="A37" s="10"/>
      <c r="B37" s="16"/>
      <c r="C37" s="17"/>
      <c r="D37" s="17"/>
      <c r="E37" s="17">
        <f>SUM(INDEX(Caisse[Avoir],1):Caisse[[#This Row],[Avoir]])-SUM(INDEX(Caisse[Doit],1):Caisse[[#This Row],[Doit]])</f>
        <v>3177.8</v>
      </c>
    </row>
    <row r="38" spans="1:8" x14ac:dyDescent="0.2">
      <c r="A38" s="10"/>
      <c r="C38" s="17"/>
      <c r="D38" s="17"/>
      <c r="E38" s="17">
        <f>SUM(INDEX(Caisse[Avoir],1):Caisse[[#This Row],[Avoir]])-SUM(INDEX(Caisse[Doit],1):Caisse[[#This Row],[Doit]])</f>
        <v>3177.8</v>
      </c>
    </row>
    <row r="39" spans="1:8" x14ac:dyDescent="0.2">
      <c r="A39" s="10"/>
      <c r="C39" s="17"/>
      <c r="D39" s="17"/>
      <c r="E39" s="17">
        <f>SUM(INDEX(Caisse[Avoir],1):Caisse[[#This Row],[Avoir]])-SUM(INDEX(Caisse[Doit],1):Caisse[[#This Row],[Doit]])</f>
        <v>3177.8</v>
      </c>
    </row>
    <row r="40" spans="1:8" x14ac:dyDescent="0.2">
      <c r="A40" s="10"/>
      <c r="C40" s="17"/>
      <c r="D40" s="17"/>
      <c r="E40" s="17">
        <f>SUM(INDEX(Caisse[Avoir],1):Caisse[[#This Row],[Avoir]])-SUM(INDEX(Caisse[Doit],1):Caisse[[#This Row],[Doit]])</f>
        <v>3177.8</v>
      </c>
    </row>
    <row r="41" spans="1:8" x14ac:dyDescent="0.2">
      <c r="A41" s="10"/>
      <c r="B41" s="16"/>
      <c r="C41" s="17"/>
      <c r="D41" s="17"/>
      <c r="E41" s="17">
        <f>SUM(INDEX(Caisse[Avoir],1):Caisse[[#This Row],[Avoir]])-SUM(INDEX(Caisse[Doit],1):Caisse[[#This Row],[Doit]])</f>
        <v>3177.8</v>
      </c>
    </row>
    <row r="42" spans="1:8" x14ac:dyDescent="0.2">
      <c r="A42" t="s">
        <v>8</v>
      </c>
      <c r="B42" s="5"/>
      <c r="C42" s="17">
        <f>SUBTOTAL(109,Caisse[Doit])</f>
        <v>2037.3</v>
      </c>
      <c r="D42" s="17">
        <f>SUBTOTAL(109,Caisse[Avoir])</f>
        <v>5215.1000000000004</v>
      </c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pageSetUpPr fitToPage="1"/>
  </sheetPr>
  <dimension ref="A1:E87"/>
  <sheetViews>
    <sheetView topLeftCell="A11" zoomScaleNormal="100" workbookViewId="0">
      <selection activeCell="D27" sqref="D27"/>
    </sheetView>
  </sheetViews>
  <sheetFormatPr defaultColWidth="11.44140625" defaultRowHeight="12.75" x14ac:dyDescent="0.2"/>
  <cols>
    <col min="1" max="1" width="8.33203125" bestFit="1" customWidth="1"/>
    <col min="2" max="2" width="55.44140625" bestFit="1" customWidth="1"/>
    <col min="3" max="5" width="14.6640625" bestFit="1" customWidth="1"/>
  </cols>
  <sheetData>
    <row r="1" spans="1:5" ht="12" customHeight="1" x14ac:dyDescent="0.2">
      <c r="A1" s="8"/>
      <c r="B1" s="8"/>
      <c r="C1" s="8"/>
      <c r="D1" s="8"/>
    </row>
    <row r="2" spans="1:5" ht="18" customHeight="1" x14ac:dyDescent="0.25">
      <c r="B2" s="9" t="s">
        <v>0</v>
      </c>
      <c r="C2" s="4" t="s">
        <v>8</v>
      </c>
      <c r="D2" s="3">
        <f>Raiffeisen[[#Totals],[Avoir]]-Raiffeisen[[#Totals],[Doit]]</f>
        <v>10643.060000000001</v>
      </c>
    </row>
    <row r="3" spans="1:5" ht="18" customHeight="1" x14ac:dyDescent="0.2">
      <c r="A3" s="5"/>
      <c r="C3" s="19">
        <f>Raiffeisen[[#Totals],[Doit]]</f>
        <v>3906.9</v>
      </c>
      <c r="D3" s="3">
        <f>Raiffeisen[[#Totals],[Avoir]]</f>
        <v>14549.960000000001</v>
      </c>
    </row>
    <row r="4" spans="1:5" ht="12" customHeight="1" x14ac:dyDescent="0.2">
      <c r="A4" s="5"/>
      <c r="C4" s="2"/>
      <c r="D4" s="2"/>
    </row>
    <row r="5" spans="1:5" x14ac:dyDescent="0.2">
      <c r="A5" s="12" t="s">
        <v>4</v>
      </c>
      <c r="B5" s="5" t="s">
        <v>5</v>
      </c>
      <c r="C5" s="13" t="s">
        <v>6</v>
      </c>
      <c r="D5" s="13" t="s">
        <v>7</v>
      </c>
      <c r="E5" s="13" t="s">
        <v>16</v>
      </c>
    </row>
    <row r="6" spans="1:5" x14ac:dyDescent="0.2">
      <c r="A6" s="10">
        <v>44561</v>
      </c>
      <c r="B6" s="18" t="s">
        <v>22</v>
      </c>
      <c r="C6" s="17"/>
      <c r="D6" s="17">
        <v>11259.54</v>
      </c>
      <c r="E6" s="17">
        <f>SUM(INDEX(Raiffeisen[Avoir],1):Raiffeisen[[#This Row],[Avoir]])-SUM(INDEX(Raiffeisen[Doit],1):Raiffeisen[[#This Row],[Doit]])</f>
        <v>11259.54</v>
      </c>
    </row>
    <row r="7" spans="1:5" x14ac:dyDescent="0.2">
      <c r="A7" s="10">
        <v>44568</v>
      </c>
      <c r="B7" s="16" t="s">
        <v>28</v>
      </c>
      <c r="C7" s="17">
        <v>51.3</v>
      </c>
      <c r="D7" s="22"/>
      <c r="E7" s="17">
        <f>SUM(INDEX(Raiffeisen[Avoir],1):Raiffeisen[[#This Row],[Avoir]])-SUM(INDEX(Raiffeisen[Doit],1):Raiffeisen[[#This Row],[Doit]])</f>
        <v>11208.240000000002</v>
      </c>
    </row>
    <row r="8" spans="1:5" x14ac:dyDescent="0.2">
      <c r="A8" s="10">
        <v>44588</v>
      </c>
      <c r="B8" s="18" t="s">
        <v>25</v>
      </c>
      <c r="C8" s="17">
        <v>215.25</v>
      </c>
      <c r="D8" s="17"/>
      <c r="E8" s="17">
        <f>SUM(INDEX(Raiffeisen[Avoir],1):Raiffeisen[[#This Row],[Avoir]])-SUM(INDEX(Raiffeisen[Doit],1):Raiffeisen[[#This Row],[Doit]])</f>
        <v>10992.990000000002</v>
      </c>
    </row>
    <row r="9" spans="1:5" x14ac:dyDescent="0.2">
      <c r="A9" s="11">
        <v>44601</v>
      </c>
      <c r="B9" s="18" t="s">
        <v>29</v>
      </c>
      <c r="C9" s="17">
        <v>70</v>
      </c>
      <c r="D9" s="17"/>
      <c r="E9" s="17">
        <f>SUM(INDEX(Raiffeisen[Avoir],1):Raiffeisen[[#This Row],[Avoir]])-SUM(INDEX(Raiffeisen[Doit],1):Raiffeisen[[#This Row],[Doit]])</f>
        <v>10922.990000000002</v>
      </c>
    </row>
    <row r="10" spans="1:5" x14ac:dyDescent="0.2">
      <c r="A10" s="10">
        <v>44602</v>
      </c>
      <c r="B10" s="18" t="s">
        <v>30</v>
      </c>
      <c r="C10" s="17"/>
      <c r="D10" s="17">
        <v>30</v>
      </c>
      <c r="E10" s="17">
        <f>SUM(INDEX(Raiffeisen[Avoir],1):Raiffeisen[[#This Row],[Avoir]])-SUM(INDEX(Raiffeisen[Doit],1):Raiffeisen[[#This Row],[Doit]])</f>
        <v>10952.990000000002</v>
      </c>
    </row>
    <row r="11" spans="1:5" x14ac:dyDescent="0.2">
      <c r="A11" s="10">
        <v>44604</v>
      </c>
      <c r="B11" s="18" t="s">
        <v>54</v>
      </c>
      <c r="C11" s="17"/>
      <c r="D11" s="17">
        <v>60</v>
      </c>
      <c r="E11" s="17">
        <f>SUM(INDEX(Raiffeisen[Avoir],1):Raiffeisen[[#This Row],[Avoir]])-SUM(INDEX(Raiffeisen[Doit],1):Raiffeisen[[#This Row],[Doit]])</f>
        <v>11012.990000000002</v>
      </c>
    </row>
    <row r="12" spans="1:5" x14ac:dyDescent="0.2">
      <c r="A12" s="10">
        <v>44608</v>
      </c>
      <c r="B12" s="18" t="s">
        <v>31</v>
      </c>
      <c r="C12" s="17"/>
      <c r="D12" s="17">
        <v>30</v>
      </c>
      <c r="E12" s="17">
        <f>SUM(INDEX(Raiffeisen[Avoir],1):Raiffeisen[[#This Row],[Avoir]])-SUM(INDEX(Raiffeisen[Doit],1):Raiffeisen[[#This Row],[Doit]])</f>
        <v>11042.990000000002</v>
      </c>
    </row>
    <row r="13" spans="1:5" x14ac:dyDescent="0.2">
      <c r="A13" s="10">
        <v>44617</v>
      </c>
      <c r="B13" s="18" t="s">
        <v>35</v>
      </c>
      <c r="C13" s="17"/>
      <c r="D13" s="17">
        <v>30</v>
      </c>
      <c r="E13" s="17">
        <f>SUM(INDEX(Raiffeisen[Avoir],1):Raiffeisen[[#This Row],[Avoir]])-SUM(INDEX(Raiffeisen[Doit],1):Raiffeisen[[#This Row],[Doit]])</f>
        <v>11072.990000000002</v>
      </c>
    </row>
    <row r="14" spans="1:5" x14ac:dyDescent="0.2">
      <c r="A14" s="10">
        <v>44617</v>
      </c>
      <c r="B14" s="18" t="s">
        <v>36</v>
      </c>
      <c r="C14" s="17"/>
      <c r="D14" s="17">
        <v>60</v>
      </c>
      <c r="E14" s="17">
        <f>SUM(INDEX(Raiffeisen[Avoir],1):Raiffeisen[[#This Row],[Avoir]])-SUM(INDEX(Raiffeisen[Doit],1):Raiffeisen[[#This Row],[Doit]])</f>
        <v>11132.990000000002</v>
      </c>
    </row>
    <row r="15" spans="1:5" x14ac:dyDescent="0.2">
      <c r="A15" s="10">
        <v>44617</v>
      </c>
      <c r="B15" s="18" t="s">
        <v>37</v>
      </c>
      <c r="C15" s="17">
        <v>1.6</v>
      </c>
      <c r="D15" s="17"/>
      <c r="E15" s="17">
        <f>SUM(INDEX(Raiffeisen[Avoir],1):Raiffeisen[[#This Row],[Avoir]])-SUM(INDEX(Raiffeisen[Doit],1):Raiffeisen[[#This Row],[Doit]])</f>
        <v>11131.390000000001</v>
      </c>
    </row>
    <row r="16" spans="1:5" x14ac:dyDescent="0.2">
      <c r="A16" s="10">
        <v>44617</v>
      </c>
      <c r="B16" s="18" t="s">
        <v>38</v>
      </c>
      <c r="C16" s="17"/>
      <c r="D16" s="17">
        <v>30</v>
      </c>
      <c r="E16" s="17">
        <f>SUM(INDEX(Raiffeisen[Avoir],1):Raiffeisen[[#This Row],[Avoir]])-SUM(INDEX(Raiffeisen[Doit],1):Raiffeisen[[#This Row],[Doit]])</f>
        <v>11161.390000000001</v>
      </c>
    </row>
    <row r="17" spans="1:5" x14ac:dyDescent="0.2">
      <c r="A17" s="10">
        <v>44618</v>
      </c>
      <c r="B17" s="18" t="s">
        <v>39</v>
      </c>
      <c r="C17" s="17"/>
      <c r="D17" s="17">
        <v>30</v>
      </c>
      <c r="E17" s="17">
        <f>SUM(INDEX(Raiffeisen[Avoir],1):Raiffeisen[[#This Row],[Avoir]])-SUM(INDEX(Raiffeisen[Doit],1):Raiffeisen[[#This Row],[Doit]])</f>
        <v>11191.390000000001</v>
      </c>
    </row>
    <row r="18" spans="1:5" x14ac:dyDescent="0.2">
      <c r="A18" s="10">
        <v>44618</v>
      </c>
      <c r="B18" s="18" t="s">
        <v>40</v>
      </c>
      <c r="C18" s="17"/>
      <c r="D18" s="17">
        <v>30</v>
      </c>
      <c r="E18" s="17">
        <f>SUM(INDEX(Raiffeisen[Avoir],1):Raiffeisen[[#This Row],[Avoir]])-SUM(INDEX(Raiffeisen[Doit],1):Raiffeisen[[#This Row],[Doit]])</f>
        <v>11221.390000000001</v>
      </c>
    </row>
    <row r="19" spans="1:5" x14ac:dyDescent="0.2">
      <c r="A19" s="10">
        <v>44618</v>
      </c>
      <c r="B19" s="18" t="s">
        <v>41</v>
      </c>
      <c r="C19" s="17"/>
      <c r="D19" s="17">
        <v>30</v>
      </c>
      <c r="E19" s="17">
        <f>SUM(INDEX(Raiffeisen[Avoir],1):Raiffeisen[[#This Row],[Avoir]])-SUM(INDEX(Raiffeisen[Doit],1):Raiffeisen[[#This Row],[Doit]])</f>
        <v>11251.390000000001</v>
      </c>
    </row>
    <row r="20" spans="1:5" x14ac:dyDescent="0.2">
      <c r="A20" s="10">
        <v>44618</v>
      </c>
      <c r="B20" s="18" t="s">
        <v>42</v>
      </c>
      <c r="C20" s="17"/>
      <c r="D20" s="17">
        <v>30</v>
      </c>
      <c r="E20" s="17">
        <f>SUM(INDEX(Raiffeisen[Avoir],1):Raiffeisen[[#This Row],[Avoir]])-SUM(INDEX(Raiffeisen[Doit],1):Raiffeisen[[#This Row],[Doit]])</f>
        <v>11281.390000000001</v>
      </c>
    </row>
    <row r="21" spans="1:5" x14ac:dyDescent="0.2">
      <c r="A21" s="10">
        <v>44621</v>
      </c>
      <c r="B21" s="18" t="s">
        <v>43</v>
      </c>
      <c r="C21" s="17"/>
      <c r="D21" s="17">
        <v>30</v>
      </c>
      <c r="E21" s="17">
        <f>SUM(INDEX(Raiffeisen[Avoir],1):Raiffeisen[[#This Row],[Avoir]])-SUM(INDEX(Raiffeisen[Doit],1):Raiffeisen[[#This Row],[Doit]])</f>
        <v>11311.390000000001</v>
      </c>
    </row>
    <row r="22" spans="1:5" x14ac:dyDescent="0.2">
      <c r="A22" s="10">
        <v>44621</v>
      </c>
      <c r="B22" s="18" t="s">
        <v>44</v>
      </c>
      <c r="C22" s="17"/>
      <c r="D22" s="17">
        <v>30</v>
      </c>
      <c r="E22" s="17">
        <f>SUM(INDEX(Raiffeisen[Avoir],1):Raiffeisen[[#This Row],[Avoir]])-SUM(INDEX(Raiffeisen[Doit],1):Raiffeisen[[#This Row],[Doit]])</f>
        <v>11341.390000000001</v>
      </c>
    </row>
    <row r="23" spans="1:5" x14ac:dyDescent="0.2">
      <c r="A23" s="10">
        <v>44621</v>
      </c>
      <c r="B23" s="18" t="s">
        <v>45</v>
      </c>
      <c r="C23" s="17"/>
      <c r="D23" s="17">
        <v>30</v>
      </c>
      <c r="E23" s="17">
        <f>SUM(INDEX(Raiffeisen[Avoir],1):Raiffeisen[[#This Row],[Avoir]])-SUM(INDEX(Raiffeisen[Doit],1):Raiffeisen[[#This Row],[Doit]])</f>
        <v>11371.390000000001</v>
      </c>
    </row>
    <row r="24" spans="1:5" x14ac:dyDescent="0.2">
      <c r="A24" s="10">
        <v>44621</v>
      </c>
      <c r="B24" s="18" t="s">
        <v>46</v>
      </c>
      <c r="C24" s="17"/>
      <c r="D24" s="17">
        <v>30</v>
      </c>
      <c r="E24" s="17">
        <f>SUM(INDEX(Raiffeisen[Avoir],1):Raiffeisen[[#This Row],[Avoir]])-SUM(INDEX(Raiffeisen[Doit],1):Raiffeisen[[#This Row],[Doit]])</f>
        <v>11401.390000000001</v>
      </c>
    </row>
    <row r="25" spans="1:5" x14ac:dyDescent="0.2">
      <c r="A25" s="10">
        <v>44622</v>
      </c>
      <c r="B25" s="18" t="s">
        <v>48</v>
      </c>
      <c r="C25" s="17"/>
      <c r="D25" s="17">
        <v>30</v>
      </c>
      <c r="E25" s="17">
        <f>SUM(INDEX(Raiffeisen[Avoir],1):Raiffeisen[[#This Row],[Avoir]])-SUM(INDEX(Raiffeisen[Doit],1):Raiffeisen[[#This Row],[Doit]])</f>
        <v>11431.390000000001</v>
      </c>
    </row>
    <row r="26" spans="1:5" x14ac:dyDescent="0.2">
      <c r="A26" s="10">
        <v>44628</v>
      </c>
      <c r="B26" s="18" t="s">
        <v>66</v>
      </c>
      <c r="C26" s="17">
        <v>50</v>
      </c>
      <c r="D26" s="17"/>
      <c r="E26" s="17">
        <f>SUM(INDEX(Raiffeisen[Avoir],1):Raiffeisen[[#This Row],[Avoir]])-SUM(INDEX(Raiffeisen[Doit],1):Raiffeisen[[#This Row],[Doit]])</f>
        <v>11381.390000000001</v>
      </c>
    </row>
    <row r="27" spans="1:5" x14ac:dyDescent="0.2">
      <c r="A27" s="10">
        <v>44629</v>
      </c>
      <c r="B27" s="18" t="s">
        <v>67</v>
      </c>
      <c r="C27" s="17"/>
      <c r="D27" s="17">
        <v>88.83</v>
      </c>
      <c r="E27" s="17">
        <f>SUM(INDEX(Raiffeisen[Avoir],1):Raiffeisen[[#This Row],[Avoir]])-SUM(INDEX(Raiffeisen[Doit],1):Raiffeisen[[#This Row],[Doit]])</f>
        <v>11470.220000000001</v>
      </c>
    </row>
    <row r="28" spans="1:5" x14ac:dyDescent="0.2">
      <c r="A28" s="10">
        <v>44638</v>
      </c>
      <c r="B28" s="18" t="s">
        <v>69</v>
      </c>
      <c r="C28" s="17">
        <v>83</v>
      </c>
      <c r="D28" s="17"/>
      <c r="E28" s="17">
        <f>SUM(INDEX(Raiffeisen[Avoir],1):Raiffeisen[[#This Row],[Avoir]])-SUM(INDEX(Raiffeisen[Doit],1):Raiffeisen[[#This Row],[Doit]])</f>
        <v>11387.220000000001</v>
      </c>
    </row>
    <row r="29" spans="1:5" x14ac:dyDescent="0.2">
      <c r="A29" s="10">
        <v>44645</v>
      </c>
      <c r="B29" s="18" t="s">
        <v>70</v>
      </c>
      <c r="C29" s="17"/>
      <c r="D29" s="17">
        <v>30</v>
      </c>
      <c r="E29" s="17">
        <f>SUM(INDEX(Raiffeisen[Avoir],1):Raiffeisen[[#This Row],[Avoir]])-SUM(INDEX(Raiffeisen[Doit],1):Raiffeisen[[#This Row],[Doit]])</f>
        <v>11417.220000000001</v>
      </c>
    </row>
    <row r="30" spans="1:5" x14ac:dyDescent="0.2">
      <c r="A30" s="10">
        <v>44645</v>
      </c>
      <c r="B30" s="18" t="s">
        <v>71</v>
      </c>
      <c r="C30" s="17">
        <v>100</v>
      </c>
      <c r="D30" s="17"/>
      <c r="E30" s="17">
        <f>SUM(INDEX(Raiffeisen[Avoir],1):Raiffeisen[[#This Row],[Avoir]])-SUM(INDEX(Raiffeisen[Doit],1):Raiffeisen[[#This Row],[Doit]])</f>
        <v>11317.220000000001</v>
      </c>
    </row>
    <row r="31" spans="1:5" x14ac:dyDescent="0.2">
      <c r="A31" s="10">
        <v>44645</v>
      </c>
      <c r="B31" s="18" t="s">
        <v>72</v>
      </c>
      <c r="C31" s="17">
        <v>249</v>
      </c>
      <c r="D31" s="17"/>
      <c r="E31" s="17">
        <f>SUM(INDEX(Raiffeisen[Avoir],1):Raiffeisen[[#This Row],[Avoir]])-SUM(INDEX(Raiffeisen[Doit],1):Raiffeisen[[#This Row],[Doit]])</f>
        <v>11068.220000000001</v>
      </c>
    </row>
    <row r="32" spans="1:5" x14ac:dyDescent="0.2">
      <c r="A32" s="10">
        <v>44646</v>
      </c>
      <c r="B32" s="18" t="s">
        <v>73</v>
      </c>
      <c r="C32" s="17"/>
      <c r="D32" s="17">
        <v>30</v>
      </c>
      <c r="E32" s="17">
        <f>SUM(INDEX(Raiffeisen[Avoir],1):Raiffeisen[[#This Row],[Avoir]])-SUM(INDEX(Raiffeisen[Doit],1):Raiffeisen[[#This Row],[Doit]])</f>
        <v>11098.220000000001</v>
      </c>
    </row>
    <row r="33" spans="1:5" x14ac:dyDescent="0.2">
      <c r="A33" s="10">
        <v>44649</v>
      </c>
      <c r="B33" s="16" t="s">
        <v>75</v>
      </c>
      <c r="C33" s="17">
        <v>15</v>
      </c>
      <c r="D33" s="17"/>
      <c r="E33" s="17">
        <f>SUM(INDEX(Raiffeisen[Avoir],1):Raiffeisen[[#This Row],[Avoir]])-SUM(INDEX(Raiffeisen[Doit],1):Raiffeisen[[#This Row],[Doit]])</f>
        <v>11083.220000000001</v>
      </c>
    </row>
    <row r="34" spans="1:5" x14ac:dyDescent="0.2">
      <c r="A34" s="10">
        <v>44649</v>
      </c>
      <c r="B34" s="18" t="s">
        <v>76</v>
      </c>
      <c r="C34" s="17">
        <v>467.9</v>
      </c>
      <c r="D34" s="17"/>
      <c r="E34" s="17">
        <f>SUM(INDEX(Raiffeisen[Avoir],1):Raiffeisen[[#This Row],[Avoir]])-SUM(INDEX(Raiffeisen[Doit],1):Raiffeisen[[#This Row],[Doit]])</f>
        <v>10615.32</v>
      </c>
    </row>
    <row r="35" spans="1:5" x14ac:dyDescent="0.2">
      <c r="A35" s="10">
        <v>44652</v>
      </c>
      <c r="B35" s="18" t="s">
        <v>77</v>
      </c>
      <c r="C35" s="17">
        <v>404.5</v>
      </c>
      <c r="D35" s="17"/>
      <c r="E35" s="17">
        <f>SUM(INDEX(Raiffeisen[Avoir],1):Raiffeisen[[#This Row],[Avoir]])-SUM(INDEX(Raiffeisen[Doit],1):Raiffeisen[[#This Row],[Doit]])</f>
        <v>10210.82</v>
      </c>
    </row>
    <row r="36" spans="1:5" x14ac:dyDescent="0.2">
      <c r="A36" s="10">
        <v>44652</v>
      </c>
      <c r="B36" s="16" t="s">
        <v>78</v>
      </c>
      <c r="C36" s="17"/>
      <c r="D36" s="17">
        <v>60</v>
      </c>
      <c r="E36" s="17">
        <f>SUM(INDEX(Raiffeisen[Avoir],1):Raiffeisen[[#This Row],[Avoir]])-SUM(INDEX(Raiffeisen[Doit],1):Raiffeisen[[#This Row],[Doit]])</f>
        <v>10270.82</v>
      </c>
    </row>
    <row r="37" spans="1:5" x14ac:dyDescent="0.2">
      <c r="A37" s="10">
        <v>44657</v>
      </c>
      <c r="B37" s="18" t="s">
        <v>79</v>
      </c>
      <c r="C37" s="17"/>
      <c r="D37" s="17">
        <v>30</v>
      </c>
      <c r="E37" s="17">
        <f>SUM(INDEX(Raiffeisen[Avoir],1):Raiffeisen[[#This Row],[Avoir]])-SUM(INDEX(Raiffeisen[Doit],1):Raiffeisen[[#This Row],[Doit]])</f>
        <v>10300.82</v>
      </c>
    </row>
    <row r="38" spans="1:5" x14ac:dyDescent="0.2">
      <c r="A38" s="10">
        <v>44657</v>
      </c>
      <c r="B38" s="18" t="s">
        <v>80</v>
      </c>
      <c r="C38" s="17"/>
      <c r="D38" s="17">
        <v>250</v>
      </c>
      <c r="E38" s="17">
        <f>SUM(INDEX(Raiffeisen[Avoir],1):Raiffeisen[[#This Row],[Avoir]])-SUM(INDEX(Raiffeisen[Doit],1):Raiffeisen[[#This Row],[Doit]])</f>
        <v>10550.82</v>
      </c>
    </row>
    <row r="39" spans="1:5" x14ac:dyDescent="0.2">
      <c r="A39" s="10">
        <v>44677</v>
      </c>
      <c r="B39" s="18" t="s">
        <v>29</v>
      </c>
      <c r="C39" s="17">
        <v>140.94999999999999</v>
      </c>
      <c r="D39" s="25"/>
      <c r="E39" s="17">
        <f>SUM(INDEX(Raiffeisen[Avoir],1):Raiffeisen[[#This Row],[Avoir]])-SUM(INDEX(Raiffeisen[Doit],1):Raiffeisen[[#This Row],[Doit]])</f>
        <v>10409.870000000001</v>
      </c>
    </row>
    <row r="40" spans="1:5" x14ac:dyDescent="0.2">
      <c r="A40" s="10">
        <v>44677</v>
      </c>
      <c r="B40" s="18" t="s">
        <v>81</v>
      </c>
      <c r="C40" s="17"/>
      <c r="D40" s="17">
        <v>30</v>
      </c>
      <c r="E40" s="17">
        <f>SUM(INDEX(Raiffeisen[Avoir],1):Raiffeisen[[#This Row],[Avoir]])-SUM(INDEX(Raiffeisen[Doit],1):Raiffeisen[[#This Row],[Doit]])</f>
        <v>10439.870000000001</v>
      </c>
    </row>
    <row r="41" spans="1:5" x14ac:dyDescent="0.2">
      <c r="A41" s="10">
        <v>44768</v>
      </c>
      <c r="B41" s="18" t="s">
        <v>82</v>
      </c>
      <c r="C41" s="17">
        <v>650</v>
      </c>
      <c r="D41" s="17"/>
      <c r="E41" s="17">
        <f>SUM(INDEX(Raiffeisen[Avoir],1):Raiffeisen[[#This Row],[Avoir]])-SUM(INDEX(Raiffeisen[Doit],1):Raiffeisen[[#This Row],[Doit]])</f>
        <v>9789.8700000000008</v>
      </c>
    </row>
    <row r="42" spans="1:5" x14ac:dyDescent="0.2">
      <c r="A42" s="10">
        <v>44681</v>
      </c>
      <c r="B42" s="18" t="s">
        <v>83</v>
      </c>
      <c r="C42" s="17">
        <v>180</v>
      </c>
      <c r="D42" s="17"/>
      <c r="E42" s="17">
        <f>SUM(INDEX(Raiffeisen[Avoir],1):Raiffeisen[[#This Row],[Avoir]])-SUM(INDEX(Raiffeisen[Doit],1):Raiffeisen[[#This Row],[Doit]])</f>
        <v>9609.8700000000008</v>
      </c>
    </row>
    <row r="43" spans="1:5" x14ac:dyDescent="0.2">
      <c r="A43" s="10">
        <v>44685</v>
      </c>
      <c r="B43" s="18" t="s">
        <v>90</v>
      </c>
      <c r="C43" s="17">
        <v>428.4</v>
      </c>
      <c r="D43" s="17"/>
      <c r="E43" s="17">
        <f>SUM(INDEX(Raiffeisen[Avoir],1):Raiffeisen[[#This Row],[Avoir]])-SUM(INDEX(Raiffeisen[Doit],1):Raiffeisen[[#This Row],[Doit]])</f>
        <v>9181.4700000000012</v>
      </c>
    </row>
    <row r="44" spans="1:5" x14ac:dyDescent="0.2">
      <c r="A44" s="10">
        <v>44685</v>
      </c>
      <c r="B44" s="18" t="s">
        <v>92</v>
      </c>
      <c r="C44" s="17"/>
      <c r="D44" s="17">
        <v>2231.59</v>
      </c>
      <c r="E44" s="17">
        <f>SUM(INDEX(Raiffeisen[Avoir],1):Raiffeisen[[#This Row],[Avoir]])-SUM(INDEX(Raiffeisen[Doit],1):Raiffeisen[[#This Row],[Doit]])</f>
        <v>11413.060000000001</v>
      </c>
    </row>
    <row r="45" spans="1:5" x14ac:dyDescent="0.2">
      <c r="A45" s="10">
        <v>44691</v>
      </c>
      <c r="B45" s="18" t="s">
        <v>93</v>
      </c>
      <c r="C45" s="17"/>
      <c r="D45" s="17">
        <v>30</v>
      </c>
      <c r="E45" s="17">
        <f>SUM(INDEX(Raiffeisen[Avoir],1):Raiffeisen[[#This Row],[Avoir]])-SUM(INDEX(Raiffeisen[Doit],1):Raiffeisen[[#This Row],[Doit]])</f>
        <v>11443.060000000001</v>
      </c>
    </row>
    <row r="46" spans="1:5" x14ac:dyDescent="0.2">
      <c r="A46" s="10">
        <v>44695</v>
      </c>
      <c r="B46" s="18" t="s">
        <v>94</v>
      </c>
      <c r="C46" s="17">
        <v>800</v>
      </c>
      <c r="D46" s="17"/>
      <c r="E46" s="17">
        <f>SUM(INDEX(Raiffeisen[Avoir],1):Raiffeisen[[#This Row],[Avoir]])-SUM(INDEX(Raiffeisen[Doit],1):Raiffeisen[[#This Row],[Doit]])</f>
        <v>10643.060000000001</v>
      </c>
    </row>
    <row r="47" spans="1:5" x14ac:dyDescent="0.2">
      <c r="A47" s="10"/>
      <c r="B47" s="18"/>
      <c r="C47" s="17"/>
      <c r="D47" s="17"/>
      <c r="E47" s="17">
        <f>SUM(INDEX(Raiffeisen[Avoir],1):Raiffeisen[[#This Row],[Avoir]])-SUM(INDEX(Raiffeisen[Doit],1):Raiffeisen[[#This Row],[Doit]])</f>
        <v>10643.060000000001</v>
      </c>
    </row>
    <row r="48" spans="1:5" x14ac:dyDescent="0.2">
      <c r="A48" s="10"/>
      <c r="B48" s="16"/>
      <c r="C48" s="17"/>
      <c r="D48" s="17"/>
      <c r="E48" s="17">
        <f>SUM(INDEX(Raiffeisen[Avoir],1):Raiffeisen[[#This Row],[Avoir]])-SUM(INDEX(Raiffeisen[Doit],1):Raiffeisen[[#This Row],[Doit]])</f>
        <v>10643.060000000001</v>
      </c>
    </row>
    <row r="49" spans="1:5" x14ac:dyDescent="0.2">
      <c r="A49" s="10"/>
      <c r="B49" s="18"/>
      <c r="C49" s="17"/>
      <c r="D49" s="17"/>
      <c r="E49" s="17">
        <f>SUM(INDEX(Raiffeisen[Avoir],1):Raiffeisen[[#This Row],[Avoir]])-SUM(INDEX(Raiffeisen[Doit],1):Raiffeisen[[#This Row],[Doit]])</f>
        <v>10643.060000000001</v>
      </c>
    </row>
    <row r="50" spans="1:5" x14ac:dyDescent="0.2">
      <c r="A50" s="10"/>
      <c r="B50" s="16"/>
      <c r="C50" s="17"/>
      <c r="D50" s="17"/>
      <c r="E50" s="17">
        <f>SUM(INDEX(Raiffeisen[Avoir],1):Raiffeisen[[#This Row],[Avoir]])-SUM(INDEX(Raiffeisen[Doit],1):Raiffeisen[[#This Row],[Doit]])</f>
        <v>10643.060000000001</v>
      </c>
    </row>
    <row r="51" spans="1:5" x14ac:dyDescent="0.2">
      <c r="A51" s="10"/>
      <c r="B51" s="18"/>
      <c r="C51" s="17"/>
      <c r="D51" s="17"/>
      <c r="E51" s="17">
        <f>SUM(INDEX(Raiffeisen[Avoir],1):Raiffeisen[[#This Row],[Avoir]])-SUM(INDEX(Raiffeisen[Doit],1):Raiffeisen[[#This Row],[Doit]])</f>
        <v>10643.060000000001</v>
      </c>
    </row>
    <row r="52" spans="1:5" x14ac:dyDescent="0.2">
      <c r="A52" s="10"/>
      <c r="B52" s="18"/>
      <c r="C52" s="17"/>
      <c r="D52" s="17"/>
      <c r="E52" s="17">
        <f>SUM(INDEX(Raiffeisen[Avoir],1):Raiffeisen[[#This Row],[Avoir]])-SUM(INDEX(Raiffeisen[Doit],1):Raiffeisen[[#This Row],[Doit]])</f>
        <v>10643.060000000001</v>
      </c>
    </row>
    <row r="53" spans="1:5" x14ac:dyDescent="0.2">
      <c r="A53" s="10"/>
      <c r="B53" s="18"/>
      <c r="C53" s="17"/>
      <c r="D53" s="17"/>
      <c r="E53" s="17">
        <f>SUM(INDEX(Raiffeisen[Avoir],1):Raiffeisen[[#This Row],[Avoir]])-SUM(INDEX(Raiffeisen[Doit],1):Raiffeisen[[#This Row],[Doit]])</f>
        <v>10643.060000000001</v>
      </c>
    </row>
    <row r="54" spans="1:5" x14ac:dyDescent="0.2">
      <c r="A54" s="10"/>
      <c r="B54" s="18"/>
      <c r="C54" s="17"/>
      <c r="D54" s="17"/>
      <c r="E54" s="17">
        <f>SUM(INDEX(Raiffeisen[Avoir],1):Raiffeisen[[#This Row],[Avoir]])-SUM(INDEX(Raiffeisen[Doit],1):Raiffeisen[[#This Row],[Doit]])</f>
        <v>10643.060000000001</v>
      </c>
    </row>
    <row r="55" spans="1:5" x14ac:dyDescent="0.2">
      <c r="A55" s="10"/>
      <c r="B55" s="18"/>
      <c r="C55" s="17"/>
      <c r="D55" s="17"/>
      <c r="E55" s="17">
        <f>SUM(INDEX(Raiffeisen[Avoir],1):Raiffeisen[[#This Row],[Avoir]])-SUM(INDEX(Raiffeisen[Doit],1):Raiffeisen[[#This Row],[Doit]])</f>
        <v>10643.060000000001</v>
      </c>
    </row>
    <row r="56" spans="1:5" x14ac:dyDescent="0.2">
      <c r="A56" s="10"/>
      <c r="B56" s="18"/>
      <c r="C56" s="17"/>
      <c r="D56" s="17"/>
      <c r="E56" s="17">
        <f>SUM(INDEX(Raiffeisen[Avoir],1):Raiffeisen[[#This Row],[Avoir]])-SUM(INDEX(Raiffeisen[Doit],1):Raiffeisen[[#This Row],[Doit]])</f>
        <v>10643.060000000001</v>
      </c>
    </row>
    <row r="57" spans="1:5" x14ac:dyDescent="0.2">
      <c r="A57" s="10"/>
      <c r="B57" s="16"/>
      <c r="C57" s="17"/>
      <c r="D57" s="17"/>
      <c r="E57" s="17">
        <f>SUM(INDEX(Raiffeisen[Avoir],1):Raiffeisen[[#This Row],[Avoir]])-SUM(INDEX(Raiffeisen[Doit],1):Raiffeisen[[#This Row],[Doit]])</f>
        <v>10643.060000000001</v>
      </c>
    </row>
    <row r="58" spans="1:5" x14ac:dyDescent="0.2">
      <c r="A58" s="10"/>
      <c r="B58" s="18"/>
      <c r="C58" s="17"/>
      <c r="D58" s="17"/>
      <c r="E58" s="17">
        <f>SUM(INDEX(Raiffeisen[Avoir],1):Raiffeisen[[#This Row],[Avoir]])-SUM(INDEX(Raiffeisen[Doit],1):Raiffeisen[[#This Row],[Doit]])</f>
        <v>10643.060000000001</v>
      </c>
    </row>
    <row r="59" spans="1:5" x14ac:dyDescent="0.2">
      <c r="A59" s="10"/>
      <c r="B59" s="18"/>
      <c r="C59" s="17"/>
      <c r="D59" s="17"/>
      <c r="E59" s="17">
        <f>SUM(INDEX(Raiffeisen[Avoir],1):Raiffeisen[[#This Row],[Avoir]])-SUM(INDEX(Raiffeisen[Doit],1):Raiffeisen[[#This Row],[Doit]])</f>
        <v>10643.060000000001</v>
      </c>
    </row>
    <row r="60" spans="1:5" x14ac:dyDescent="0.2">
      <c r="A60" s="10"/>
      <c r="B60" s="18"/>
      <c r="C60" s="17"/>
      <c r="D60" s="17"/>
      <c r="E60" s="17">
        <f>SUM(INDEX(Raiffeisen[Avoir],1):Raiffeisen[[#This Row],[Avoir]])-SUM(INDEX(Raiffeisen[Doit],1):Raiffeisen[[#This Row],[Doit]])</f>
        <v>10643.060000000001</v>
      </c>
    </row>
    <row r="61" spans="1:5" x14ac:dyDescent="0.2">
      <c r="A61" s="10"/>
      <c r="B61" s="18"/>
      <c r="C61" s="17"/>
      <c r="D61" s="17"/>
      <c r="E61" s="17">
        <f>SUM(INDEX(Raiffeisen[Avoir],1):Raiffeisen[[#This Row],[Avoir]])-SUM(INDEX(Raiffeisen[Doit],1):Raiffeisen[[#This Row],[Doit]])</f>
        <v>10643.060000000001</v>
      </c>
    </row>
    <row r="62" spans="1:5" x14ac:dyDescent="0.2">
      <c r="A62" s="10"/>
      <c r="B62" s="14"/>
      <c r="C62" s="17"/>
      <c r="D62" s="17"/>
      <c r="E62" s="17">
        <f>SUM(INDEX(Raiffeisen[Avoir],1):Raiffeisen[[#This Row],[Avoir]])-SUM(INDEX(Raiffeisen[Doit],1):Raiffeisen[[#This Row],[Doit]])</f>
        <v>10643.060000000001</v>
      </c>
    </row>
    <row r="63" spans="1:5" x14ac:dyDescent="0.2">
      <c r="A63" s="10"/>
      <c r="B63" s="18"/>
      <c r="C63" s="17"/>
      <c r="D63" s="17"/>
      <c r="E63" s="17">
        <f>SUM(INDEX(Raiffeisen[Avoir],1):Raiffeisen[[#This Row],[Avoir]])-SUM(INDEX(Raiffeisen[Doit],1):Raiffeisen[[#This Row],[Doit]])</f>
        <v>10643.060000000001</v>
      </c>
    </row>
    <row r="64" spans="1:5" x14ac:dyDescent="0.2">
      <c r="A64" s="10"/>
      <c r="C64" s="17"/>
      <c r="D64" s="17"/>
      <c r="E64" s="17">
        <f>SUM(INDEX(Raiffeisen[Avoir],1):Raiffeisen[[#This Row],[Avoir]])-SUM(INDEX(Raiffeisen[Doit],1):Raiffeisen[[#This Row],[Doit]])</f>
        <v>10643.060000000001</v>
      </c>
    </row>
    <row r="65" spans="1:5" x14ac:dyDescent="0.2">
      <c r="A65" s="10"/>
      <c r="C65" s="17"/>
      <c r="D65" s="17"/>
      <c r="E65" s="17">
        <f>SUM(INDEX(Raiffeisen[Avoir],1):Raiffeisen[[#This Row],[Avoir]])-SUM(INDEX(Raiffeisen[Doit],1):Raiffeisen[[#This Row],[Doit]])</f>
        <v>10643.060000000001</v>
      </c>
    </row>
    <row r="66" spans="1:5" x14ac:dyDescent="0.2">
      <c r="A66" s="10"/>
      <c r="C66" s="17"/>
      <c r="D66" s="17"/>
      <c r="E66" s="17">
        <f>SUM(INDEX(Raiffeisen[Avoir],1):Raiffeisen[[#This Row],[Avoir]])-SUM(INDEX(Raiffeisen[Doit],1):Raiffeisen[[#This Row],[Doit]])</f>
        <v>10643.060000000001</v>
      </c>
    </row>
    <row r="67" spans="1:5" x14ac:dyDescent="0.2">
      <c r="A67" s="10"/>
      <c r="C67" s="17"/>
      <c r="D67" s="17"/>
      <c r="E67" s="17">
        <f>SUM(INDEX(Raiffeisen[Avoir],1):Raiffeisen[[#This Row],[Avoir]])-SUM(INDEX(Raiffeisen[Doit],1):Raiffeisen[[#This Row],[Doit]])</f>
        <v>10643.060000000001</v>
      </c>
    </row>
    <row r="68" spans="1:5" x14ac:dyDescent="0.2">
      <c r="A68" s="10"/>
      <c r="C68" s="17"/>
      <c r="D68" s="17"/>
      <c r="E68" s="17">
        <f>SUM(INDEX(Raiffeisen[Avoir],1):Raiffeisen[[#This Row],[Avoir]])-SUM(INDEX(Raiffeisen[Doit],1):Raiffeisen[[#This Row],[Doit]])</f>
        <v>10643.060000000001</v>
      </c>
    </row>
    <row r="69" spans="1:5" x14ac:dyDescent="0.2">
      <c r="A69" s="10"/>
      <c r="C69" s="17"/>
      <c r="D69" s="17"/>
      <c r="E69" s="17">
        <f>SUM(INDEX(Raiffeisen[Avoir],1):Raiffeisen[[#This Row],[Avoir]])-SUM(INDEX(Raiffeisen[Doit],1):Raiffeisen[[#This Row],[Doit]])</f>
        <v>10643.060000000001</v>
      </c>
    </row>
    <row r="70" spans="1:5" x14ac:dyDescent="0.2">
      <c r="A70" s="10"/>
      <c r="C70" s="17"/>
      <c r="D70" s="17"/>
      <c r="E70" s="17">
        <f>SUM(INDEX(Raiffeisen[Avoir],1):Raiffeisen[[#This Row],[Avoir]])-SUM(INDEX(Raiffeisen[Doit],1):Raiffeisen[[#This Row],[Doit]])</f>
        <v>10643.060000000001</v>
      </c>
    </row>
    <row r="71" spans="1:5" x14ac:dyDescent="0.2">
      <c r="A71" s="10"/>
      <c r="C71" s="17"/>
      <c r="D71" s="17"/>
      <c r="E71" s="17">
        <f>SUM(INDEX(Raiffeisen[Avoir],1):Raiffeisen[[#This Row],[Avoir]])-SUM(INDEX(Raiffeisen[Doit],1):Raiffeisen[[#This Row],[Doit]])</f>
        <v>10643.060000000001</v>
      </c>
    </row>
    <row r="72" spans="1:5" x14ac:dyDescent="0.2">
      <c r="A72" s="10"/>
      <c r="C72" s="17"/>
      <c r="D72" s="17"/>
      <c r="E72" s="17">
        <f>SUM(INDEX(Raiffeisen[Avoir],1):Raiffeisen[[#This Row],[Avoir]])-SUM(INDEX(Raiffeisen[Doit],1):Raiffeisen[[#This Row],[Doit]])</f>
        <v>10643.060000000001</v>
      </c>
    </row>
    <row r="73" spans="1:5" x14ac:dyDescent="0.2">
      <c r="A73" s="10"/>
      <c r="C73" s="17"/>
      <c r="D73" s="17"/>
      <c r="E73" s="17">
        <f>SUM(INDEX(Raiffeisen[Avoir],1):Raiffeisen[[#This Row],[Avoir]])-SUM(INDEX(Raiffeisen[Doit],1):Raiffeisen[[#This Row],[Doit]])</f>
        <v>10643.060000000001</v>
      </c>
    </row>
    <row r="74" spans="1:5" x14ac:dyDescent="0.2">
      <c r="A74" s="10"/>
      <c r="C74" s="17"/>
      <c r="D74" s="17"/>
      <c r="E74" s="17">
        <f>SUM(INDEX(Raiffeisen[Avoir],1):Raiffeisen[[#This Row],[Avoir]])-SUM(INDEX(Raiffeisen[Doit],1):Raiffeisen[[#This Row],[Doit]])</f>
        <v>10643.060000000001</v>
      </c>
    </row>
    <row r="75" spans="1:5" x14ac:dyDescent="0.2">
      <c r="A75" s="10"/>
      <c r="C75" s="17"/>
      <c r="D75" s="17"/>
      <c r="E75" s="17">
        <f>SUM(INDEX(Raiffeisen[Avoir],1):Raiffeisen[[#This Row],[Avoir]])-SUM(INDEX(Raiffeisen[Doit],1):Raiffeisen[[#This Row],[Doit]])</f>
        <v>10643.060000000001</v>
      </c>
    </row>
    <row r="76" spans="1:5" x14ac:dyDescent="0.2">
      <c r="A76" s="10"/>
      <c r="C76" s="17"/>
      <c r="D76" s="17"/>
      <c r="E76" s="17">
        <f>SUM(INDEX(Raiffeisen[Avoir],1):Raiffeisen[[#This Row],[Avoir]])-SUM(INDEX(Raiffeisen[Doit],1):Raiffeisen[[#This Row],[Doit]])</f>
        <v>10643.060000000001</v>
      </c>
    </row>
    <row r="77" spans="1:5" x14ac:dyDescent="0.2">
      <c r="A77" s="10"/>
      <c r="C77" s="17"/>
      <c r="D77" s="17"/>
      <c r="E77" s="17">
        <f>SUM(INDEX(Raiffeisen[Avoir],1):Raiffeisen[[#This Row],[Avoir]])-SUM(INDEX(Raiffeisen[Doit],1):Raiffeisen[[#This Row],[Doit]])</f>
        <v>10643.060000000001</v>
      </c>
    </row>
    <row r="78" spans="1:5" x14ac:dyDescent="0.2">
      <c r="A78" s="10"/>
      <c r="C78" s="17"/>
      <c r="D78" s="17"/>
      <c r="E78" s="17">
        <f>SUM(INDEX(Raiffeisen[Avoir],1):Raiffeisen[[#This Row],[Avoir]])-SUM(INDEX(Raiffeisen[Doit],1):Raiffeisen[[#This Row],[Doit]])</f>
        <v>10643.060000000001</v>
      </c>
    </row>
    <row r="79" spans="1:5" x14ac:dyDescent="0.2">
      <c r="A79" s="10"/>
      <c r="C79" s="17"/>
      <c r="D79" s="17"/>
      <c r="E79" s="17">
        <f>SUM(INDEX(Raiffeisen[Avoir],1):Raiffeisen[[#This Row],[Avoir]])-SUM(INDEX(Raiffeisen[Doit],1):Raiffeisen[[#This Row],[Doit]])</f>
        <v>10643.060000000001</v>
      </c>
    </row>
    <row r="80" spans="1:5" x14ac:dyDescent="0.2">
      <c r="A80" s="10"/>
      <c r="B80" s="18"/>
      <c r="C80" s="17"/>
      <c r="D80" s="17"/>
      <c r="E80" s="17">
        <f>SUM(INDEX(Raiffeisen[Avoir],1):Raiffeisen[[#This Row],[Avoir]])-SUM(INDEX(Raiffeisen[Doit],1):Raiffeisen[[#This Row],[Doit]])</f>
        <v>10643.060000000001</v>
      </c>
    </row>
    <row r="81" spans="1:5" x14ac:dyDescent="0.2">
      <c r="A81" s="10"/>
      <c r="C81" s="17"/>
      <c r="D81" s="17"/>
      <c r="E81" s="17">
        <f>SUM(INDEX(Raiffeisen[Avoir],1):Raiffeisen[[#This Row],[Avoir]])-SUM(INDEX(Raiffeisen[Doit],1):Raiffeisen[[#This Row],[Doit]])</f>
        <v>10643.060000000001</v>
      </c>
    </row>
    <row r="82" spans="1:5" x14ac:dyDescent="0.2">
      <c r="A82" s="10"/>
      <c r="C82" s="17"/>
      <c r="D82" s="17"/>
      <c r="E82" s="17">
        <f>SUM(INDEX(Raiffeisen[Avoir],1):Raiffeisen[[#This Row],[Avoir]])-SUM(INDEX(Raiffeisen[Doit],1):Raiffeisen[[#This Row],[Doit]])</f>
        <v>10643.060000000001</v>
      </c>
    </row>
    <row r="83" spans="1:5" x14ac:dyDescent="0.2">
      <c r="A83" s="10"/>
      <c r="C83" s="17"/>
      <c r="D83" s="17"/>
      <c r="E83" s="17">
        <f>SUM(INDEX(Raiffeisen[Avoir],1):Raiffeisen[[#This Row],[Avoir]])-SUM(INDEX(Raiffeisen[Doit],1):Raiffeisen[[#This Row],[Doit]])</f>
        <v>10643.060000000001</v>
      </c>
    </row>
    <row r="84" spans="1:5" x14ac:dyDescent="0.2">
      <c r="A84" s="10"/>
      <c r="C84" s="17"/>
      <c r="D84" s="17"/>
      <c r="E84" s="17">
        <f>SUM(INDEX(Raiffeisen[Avoir],1):Raiffeisen[[#This Row],[Avoir]])-SUM(INDEX(Raiffeisen[Doit],1):Raiffeisen[[#This Row],[Doit]])</f>
        <v>10643.060000000001</v>
      </c>
    </row>
    <row r="85" spans="1:5" x14ac:dyDescent="0.2">
      <c r="A85" s="10"/>
      <c r="C85" s="17"/>
      <c r="D85" s="17"/>
      <c r="E85" s="17">
        <f>SUM(INDEX(Raiffeisen[Avoir],1):Raiffeisen[[#This Row],[Avoir]])-SUM(INDEX(Raiffeisen[Doit],1):Raiffeisen[[#This Row],[Doit]])</f>
        <v>10643.060000000001</v>
      </c>
    </row>
    <row r="86" spans="1:5" x14ac:dyDescent="0.2">
      <c r="A86" s="10"/>
      <c r="C86" s="17"/>
      <c r="D86" s="17"/>
      <c r="E86" s="17">
        <f>SUM(INDEX(Raiffeisen[Avoir],1):Raiffeisen[[#This Row],[Avoir]])-SUM(INDEX(Raiffeisen[Doit],1):Raiffeisen[[#This Row],[Doit]])</f>
        <v>10643.060000000001</v>
      </c>
    </row>
    <row r="87" spans="1:5" x14ac:dyDescent="0.2">
      <c r="A87" t="s">
        <v>8</v>
      </c>
      <c r="B87" s="5"/>
      <c r="C87" s="17">
        <f>SUBTOTAL(109,Raiffeisen[Doit])</f>
        <v>3906.9</v>
      </c>
      <c r="D87" s="17">
        <f>SUBTOTAL(109,Raiffeisen[Avoir])</f>
        <v>14549.960000000001</v>
      </c>
    </row>
  </sheetData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pageSetUpPr fitToPage="1"/>
  </sheetPr>
  <dimension ref="A1:F76"/>
  <sheetViews>
    <sheetView zoomScaleNormal="100" workbookViewId="0">
      <selection activeCell="D26" sqref="D26"/>
    </sheetView>
  </sheetViews>
  <sheetFormatPr defaultColWidth="11.44140625" defaultRowHeight="12.75" x14ac:dyDescent="0.2"/>
  <cols>
    <col min="1" max="1" width="9.88671875" bestFit="1" customWidth="1"/>
    <col min="2" max="2" width="55.44140625" bestFit="1" customWidth="1"/>
    <col min="3" max="4" width="13.6640625" bestFit="1" customWidth="1"/>
    <col min="6" max="6" width="13.6640625" bestFit="1" customWidth="1"/>
  </cols>
  <sheetData>
    <row r="1" spans="1:4" ht="12" customHeight="1" x14ac:dyDescent="0.2">
      <c r="A1" s="8"/>
      <c r="B1" s="8"/>
      <c r="C1" s="8"/>
      <c r="D1" s="8"/>
    </row>
    <row r="2" spans="1:4" ht="18" customHeight="1" x14ac:dyDescent="0.25">
      <c r="B2" s="9" t="s">
        <v>1</v>
      </c>
      <c r="C2" s="4" t="s">
        <v>8</v>
      </c>
      <c r="D2" s="3">
        <f>Produits[[#Totals],[Avoir]] - Produits[[#Totals],[Doit]]</f>
        <v>-78.980000000000018</v>
      </c>
    </row>
    <row r="3" spans="1:4" ht="18" customHeight="1" x14ac:dyDescent="0.2">
      <c r="A3" s="5"/>
      <c r="C3" s="3">
        <f>Produits[[#Totals],[Doit]]</f>
        <v>2312.67</v>
      </c>
      <c r="D3" s="3">
        <f>Produits[[#Totals],[Avoir]]</f>
        <v>2233.69</v>
      </c>
    </row>
    <row r="4" spans="1:4" ht="12" customHeight="1" x14ac:dyDescent="0.2">
      <c r="A4" s="5"/>
      <c r="C4" s="2"/>
      <c r="D4" s="2"/>
    </row>
    <row r="5" spans="1:4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2">
      <c r="A6" s="10">
        <v>44568</v>
      </c>
      <c r="B6" s="16" t="s">
        <v>28</v>
      </c>
      <c r="C6" s="17">
        <v>51.3</v>
      </c>
      <c r="D6" s="22"/>
    </row>
    <row r="7" spans="1:4" x14ac:dyDescent="0.2">
      <c r="A7" s="10">
        <v>44588</v>
      </c>
      <c r="B7" s="18" t="s">
        <v>25</v>
      </c>
      <c r="C7" s="17">
        <v>215.25</v>
      </c>
      <c r="D7" s="15"/>
    </row>
    <row r="8" spans="1:4" x14ac:dyDescent="0.2">
      <c r="A8" s="11">
        <v>44601</v>
      </c>
      <c r="B8" s="18" t="s">
        <v>29</v>
      </c>
      <c r="C8" s="17">
        <v>70</v>
      </c>
      <c r="D8" s="17"/>
    </row>
    <row r="9" spans="1:4" x14ac:dyDescent="0.2">
      <c r="A9" s="10">
        <v>44617</v>
      </c>
      <c r="B9" s="18" t="s">
        <v>37</v>
      </c>
      <c r="C9" s="17">
        <v>1.6</v>
      </c>
      <c r="D9" s="17"/>
    </row>
    <row r="10" spans="1:4" x14ac:dyDescent="0.2">
      <c r="A10" s="10">
        <v>44626</v>
      </c>
      <c r="B10" s="18" t="s">
        <v>33</v>
      </c>
      <c r="C10" s="17">
        <v>167</v>
      </c>
      <c r="D10" s="17"/>
    </row>
    <row r="11" spans="1:4" x14ac:dyDescent="0.2">
      <c r="A11" s="10">
        <v>44626</v>
      </c>
      <c r="B11" s="18" t="s">
        <v>51</v>
      </c>
      <c r="C11" s="17">
        <v>10</v>
      </c>
      <c r="D11" s="17"/>
    </row>
    <row r="12" spans="1:4" x14ac:dyDescent="0.2">
      <c r="A12" s="10">
        <v>44626</v>
      </c>
      <c r="B12" s="18" t="s">
        <v>52</v>
      </c>
      <c r="C12" s="17">
        <v>295</v>
      </c>
      <c r="D12" s="17"/>
    </row>
    <row r="13" spans="1:4" x14ac:dyDescent="0.2">
      <c r="A13" s="10">
        <v>44629</v>
      </c>
      <c r="B13" s="18" t="s">
        <v>68</v>
      </c>
      <c r="C13" s="17">
        <v>1.17</v>
      </c>
      <c r="D13" s="17"/>
    </row>
    <row r="14" spans="1:4" x14ac:dyDescent="0.2">
      <c r="A14" s="10">
        <v>44638</v>
      </c>
      <c r="B14" s="18" t="s">
        <v>69</v>
      </c>
      <c r="C14" s="17">
        <v>83</v>
      </c>
      <c r="D14" s="17"/>
    </row>
    <row r="15" spans="1:4" x14ac:dyDescent="0.2">
      <c r="A15" s="10">
        <v>44645</v>
      </c>
      <c r="B15" s="18" t="s">
        <v>71</v>
      </c>
      <c r="C15" s="17">
        <v>100</v>
      </c>
      <c r="D15" s="17"/>
    </row>
    <row r="16" spans="1:4" x14ac:dyDescent="0.2">
      <c r="A16" s="10">
        <v>44645</v>
      </c>
      <c r="B16" s="18" t="s">
        <v>72</v>
      </c>
      <c r="C16" s="17">
        <v>249</v>
      </c>
      <c r="D16" s="17"/>
    </row>
    <row r="17" spans="1:4" x14ac:dyDescent="0.2">
      <c r="A17" s="10">
        <v>44647</v>
      </c>
      <c r="B17" s="18" t="s">
        <v>74</v>
      </c>
      <c r="C17" s="17">
        <v>41</v>
      </c>
      <c r="D17" s="17"/>
    </row>
    <row r="18" spans="1:4" x14ac:dyDescent="0.2">
      <c r="A18" s="10">
        <v>44649</v>
      </c>
      <c r="B18" s="16" t="s">
        <v>75</v>
      </c>
      <c r="C18" s="17">
        <v>15</v>
      </c>
      <c r="D18" s="17"/>
    </row>
    <row r="19" spans="1:4" x14ac:dyDescent="0.2">
      <c r="A19" s="10">
        <v>44649</v>
      </c>
      <c r="B19" s="18" t="s">
        <v>76</v>
      </c>
      <c r="C19" s="17">
        <v>467.9</v>
      </c>
      <c r="D19" s="17"/>
    </row>
    <row r="20" spans="1:4" x14ac:dyDescent="0.2">
      <c r="A20" s="10">
        <v>44652</v>
      </c>
      <c r="B20" s="18" t="s">
        <v>77</v>
      </c>
      <c r="C20" s="17">
        <v>404.5</v>
      </c>
      <c r="D20" s="17"/>
    </row>
    <row r="21" spans="1:4" x14ac:dyDescent="0.2">
      <c r="A21" s="10">
        <v>44657</v>
      </c>
      <c r="B21" s="18" t="s">
        <v>80</v>
      </c>
      <c r="C21" s="17"/>
      <c r="D21" s="17">
        <v>250</v>
      </c>
    </row>
    <row r="22" spans="1:4" x14ac:dyDescent="0.2">
      <c r="A22" s="10">
        <v>44677</v>
      </c>
      <c r="B22" s="18" t="s">
        <v>29</v>
      </c>
      <c r="C22" s="17">
        <v>140.94999999999999</v>
      </c>
      <c r="D22" s="17"/>
    </row>
    <row r="23" spans="1:4" x14ac:dyDescent="0.2">
      <c r="A23" s="10"/>
      <c r="B23" s="16"/>
      <c r="C23" s="17"/>
      <c r="D23" s="17"/>
    </row>
    <row r="24" spans="1:4" x14ac:dyDescent="0.2">
      <c r="A24" s="10"/>
      <c r="B24" s="16"/>
      <c r="C24" s="17"/>
      <c r="D24" s="17"/>
    </row>
    <row r="25" spans="1:4" x14ac:dyDescent="0.2">
      <c r="A25" s="10"/>
      <c r="B25" s="18"/>
      <c r="C25" s="17"/>
      <c r="D25" s="17"/>
    </row>
    <row r="26" spans="1:4" x14ac:dyDescent="0.2">
      <c r="A26" s="10"/>
      <c r="B26" s="14" t="s">
        <v>96</v>
      </c>
      <c r="C26" s="17"/>
      <c r="D26" s="17">
        <v>1983.69</v>
      </c>
    </row>
    <row r="27" spans="1:4" x14ac:dyDescent="0.2">
      <c r="A27" s="10"/>
      <c r="B27" s="18"/>
      <c r="C27" s="17"/>
      <c r="D27" s="17"/>
    </row>
    <row r="28" spans="1:4" x14ac:dyDescent="0.2">
      <c r="A28" s="10"/>
      <c r="B28" s="16"/>
      <c r="C28" s="17"/>
      <c r="D28" s="17"/>
    </row>
    <row r="29" spans="1:4" x14ac:dyDescent="0.2">
      <c r="A29" s="10"/>
      <c r="B29" s="18"/>
      <c r="C29" s="17"/>
      <c r="D29" s="17"/>
    </row>
    <row r="30" spans="1:4" x14ac:dyDescent="0.2">
      <c r="A30" s="10"/>
      <c r="B30" s="16"/>
      <c r="C30" s="17"/>
      <c r="D30" s="17"/>
    </row>
    <row r="31" spans="1:4" x14ac:dyDescent="0.2">
      <c r="A31" s="10"/>
      <c r="B31" s="16"/>
      <c r="C31" s="17"/>
      <c r="D31" s="17"/>
    </row>
    <row r="32" spans="1:4" x14ac:dyDescent="0.2">
      <c r="A32" s="10"/>
      <c r="B32" s="18"/>
      <c r="C32" s="17"/>
      <c r="D32" s="17"/>
    </row>
    <row r="33" spans="1:4" x14ac:dyDescent="0.2">
      <c r="A33" s="11"/>
      <c r="B33" s="14"/>
      <c r="C33" s="17"/>
      <c r="D33" s="17"/>
    </row>
    <row r="34" spans="1:4" x14ac:dyDescent="0.2">
      <c r="A34" s="10"/>
      <c r="B34" s="18"/>
      <c r="C34" s="17"/>
      <c r="D34" s="17"/>
    </row>
    <row r="35" spans="1:4" x14ac:dyDescent="0.2">
      <c r="A35" s="10"/>
      <c r="B35" s="16"/>
      <c r="C35" s="17"/>
      <c r="D35" s="17"/>
    </row>
    <row r="36" spans="1:4" x14ac:dyDescent="0.2">
      <c r="A36" s="10"/>
      <c r="B36" s="16"/>
      <c r="C36" s="17"/>
      <c r="D36" s="17"/>
    </row>
    <row r="37" spans="1:4" x14ac:dyDescent="0.2">
      <c r="A37" s="10"/>
      <c r="B37" s="18"/>
      <c r="C37" s="17"/>
      <c r="D37" s="17"/>
    </row>
    <row r="38" spans="1:4" x14ac:dyDescent="0.2">
      <c r="A38" s="10"/>
      <c r="B38" s="18"/>
      <c r="C38" s="17"/>
      <c r="D38" s="17"/>
    </row>
    <row r="39" spans="1:4" x14ac:dyDescent="0.2">
      <c r="A39" s="10"/>
      <c r="B39" s="18"/>
      <c r="C39" s="17"/>
      <c r="D39" s="17"/>
    </row>
    <row r="40" spans="1:4" x14ac:dyDescent="0.2">
      <c r="A40" s="10"/>
      <c r="B40" s="18"/>
      <c r="C40" s="17"/>
      <c r="D40" s="17"/>
    </row>
    <row r="41" spans="1:4" x14ac:dyDescent="0.2">
      <c r="A41" s="10"/>
      <c r="C41" s="17"/>
      <c r="D41" s="17"/>
    </row>
    <row r="42" spans="1:4" x14ac:dyDescent="0.2">
      <c r="A42" s="10"/>
      <c r="C42" s="17"/>
      <c r="D42" s="17"/>
    </row>
    <row r="43" spans="1:4" x14ac:dyDescent="0.2">
      <c r="A43" s="10"/>
      <c r="C43" s="17"/>
      <c r="D43" s="17"/>
    </row>
    <row r="44" spans="1:4" x14ac:dyDescent="0.2">
      <c r="A44" s="10"/>
      <c r="B44" s="18"/>
      <c r="C44" s="17"/>
      <c r="D44" s="17"/>
    </row>
    <row r="45" spans="1:4" x14ac:dyDescent="0.2">
      <c r="A45" s="10"/>
      <c r="C45" s="17"/>
      <c r="D45" s="17"/>
    </row>
    <row r="46" spans="1:4" x14ac:dyDescent="0.2">
      <c r="A46" s="11"/>
      <c r="B46" s="14"/>
      <c r="C46" s="17"/>
      <c r="D46" s="15"/>
    </row>
    <row r="47" spans="1:4" x14ac:dyDescent="0.2">
      <c r="A47" s="10"/>
      <c r="C47" s="17"/>
      <c r="D47" s="17"/>
    </row>
    <row r="48" spans="1:4" x14ac:dyDescent="0.2">
      <c r="A48" s="10"/>
      <c r="C48" s="17"/>
      <c r="D48" s="17"/>
    </row>
    <row r="49" spans="1:4" x14ac:dyDescent="0.2">
      <c r="A49" s="10"/>
      <c r="B49" s="14"/>
      <c r="C49" s="17"/>
      <c r="D49" s="17"/>
    </row>
    <row r="50" spans="1:4" x14ac:dyDescent="0.2">
      <c r="A50" s="10"/>
      <c r="C50" s="17"/>
      <c r="D50" s="17"/>
    </row>
    <row r="51" spans="1:4" x14ac:dyDescent="0.2">
      <c r="A51" s="10"/>
      <c r="C51" s="17"/>
      <c r="D51" s="17"/>
    </row>
    <row r="52" spans="1:4" x14ac:dyDescent="0.2">
      <c r="A52" s="10"/>
      <c r="C52" s="17"/>
      <c r="D52" s="17"/>
    </row>
    <row r="53" spans="1:4" x14ac:dyDescent="0.2">
      <c r="A53" s="10"/>
      <c r="B53" s="16"/>
      <c r="C53" s="17"/>
      <c r="D53" s="17"/>
    </row>
    <row r="54" spans="1:4" x14ac:dyDescent="0.2">
      <c r="A54" s="10"/>
      <c r="C54" s="17"/>
      <c r="D54" s="17"/>
    </row>
    <row r="55" spans="1:4" x14ac:dyDescent="0.2">
      <c r="A55" s="10"/>
      <c r="C55" s="17"/>
      <c r="D55" s="17"/>
    </row>
    <row r="56" spans="1:4" x14ac:dyDescent="0.2">
      <c r="A56" s="10"/>
      <c r="C56" s="17"/>
      <c r="D56" s="17"/>
    </row>
    <row r="57" spans="1:4" x14ac:dyDescent="0.2">
      <c r="A57" s="10"/>
      <c r="C57" s="17"/>
      <c r="D57" s="17"/>
    </row>
    <row r="58" spans="1:4" x14ac:dyDescent="0.2">
      <c r="A58" s="10"/>
      <c r="C58" s="17"/>
      <c r="D58" s="17"/>
    </row>
    <row r="59" spans="1:4" x14ac:dyDescent="0.2">
      <c r="A59" s="10"/>
      <c r="C59" s="17"/>
      <c r="D59" s="17"/>
    </row>
    <row r="60" spans="1:4" x14ac:dyDescent="0.2">
      <c r="A60" s="10"/>
      <c r="C60" s="17"/>
      <c r="D60" s="17"/>
    </row>
    <row r="61" spans="1:4" x14ac:dyDescent="0.2">
      <c r="A61" s="10"/>
      <c r="C61" s="17"/>
      <c r="D61" s="17"/>
    </row>
    <row r="62" spans="1:4" x14ac:dyDescent="0.2">
      <c r="A62" s="10"/>
      <c r="C62" s="17"/>
      <c r="D62" s="17"/>
    </row>
    <row r="63" spans="1:4" x14ac:dyDescent="0.2">
      <c r="A63" s="10"/>
      <c r="C63" s="17"/>
      <c r="D63" s="17"/>
    </row>
    <row r="64" spans="1:4" x14ac:dyDescent="0.2">
      <c r="A64" s="10"/>
      <c r="B64" s="18"/>
      <c r="C64" s="17"/>
      <c r="D64" s="17"/>
    </row>
    <row r="65" spans="1:6" x14ac:dyDescent="0.2">
      <c r="A65" s="10"/>
      <c r="C65" s="17"/>
      <c r="D65" s="17"/>
    </row>
    <row r="66" spans="1:6" x14ac:dyDescent="0.2">
      <c r="A66" s="10"/>
      <c r="C66" s="17"/>
      <c r="D66" s="17"/>
    </row>
    <row r="67" spans="1:6" x14ac:dyDescent="0.2">
      <c r="A67" s="10"/>
      <c r="C67" s="17"/>
      <c r="D67" s="17"/>
    </row>
    <row r="68" spans="1:6" x14ac:dyDescent="0.2">
      <c r="A68" s="10"/>
      <c r="C68" s="17"/>
      <c r="D68" s="17"/>
    </row>
    <row r="69" spans="1:6" x14ac:dyDescent="0.2">
      <c r="A69" s="10"/>
      <c r="C69" s="17"/>
      <c r="D69" s="17"/>
    </row>
    <row r="70" spans="1:6" x14ac:dyDescent="0.2">
      <c r="A70" s="10"/>
      <c r="C70" s="17"/>
      <c r="D70" s="17"/>
    </row>
    <row r="71" spans="1:6" x14ac:dyDescent="0.2">
      <c r="A71" s="10"/>
      <c r="C71" s="17"/>
      <c r="D71" s="17"/>
    </row>
    <row r="72" spans="1:6" x14ac:dyDescent="0.2">
      <c r="A72" s="10"/>
      <c r="C72" s="17"/>
      <c r="D72" s="17"/>
    </row>
    <row r="73" spans="1:6" x14ac:dyDescent="0.2">
      <c r="A73" s="10"/>
      <c r="C73" s="17"/>
      <c r="D73" s="17"/>
      <c r="F73" s="17"/>
    </row>
    <row r="74" spans="1:6" x14ac:dyDescent="0.2">
      <c r="A74" s="10"/>
      <c r="C74" s="17"/>
      <c r="D74" s="17"/>
      <c r="F74" s="17"/>
    </row>
    <row r="75" spans="1:6" x14ac:dyDescent="0.2">
      <c r="A75" s="10"/>
      <c r="B75" s="16"/>
      <c r="C75" s="17"/>
      <c r="D75" s="17"/>
    </row>
    <row r="76" spans="1:6" x14ac:dyDescent="0.2">
      <c r="A76" t="s">
        <v>8</v>
      </c>
      <c r="B76" s="20"/>
      <c r="C76" s="17">
        <f>SUBTOTAL(109,Produits[Doit])</f>
        <v>2312.67</v>
      </c>
      <c r="D76" s="17">
        <f>SUBTOTAL(109,Produits[Avoir])</f>
        <v>2233.69</v>
      </c>
    </row>
  </sheetData>
  <pageMargins left="0.70866141732283472" right="0.70866141732283472" top="0.74803149606299213" bottom="0.74803149606299213" header="0.31496062992125984" footer="0.31496062992125984"/>
  <pageSetup paperSize="9" scale="96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FCA3-D63F-4887-90D9-CE77B331365C}">
  <sheetPr published="0">
    <pageSetUpPr fitToPage="1"/>
  </sheetPr>
  <dimension ref="A1:D47"/>
  <sheetViews>
    <sheetView zoomScaleNormal="100" workbookViewId="0">
      <selection activeCell="C10" sqref="C10"/>
    </sheetView>
  </sheetViews>
  <sheetFormatPr defaultColWidth="11.44140625" defaultRowHeight="12.75" x14ac:dyDescent="0.2"/>
  <cols>
    <col min="1" max="1" width="8.33203125" bestFit="1" customWidth="1"/>
    <col min="2" max="2" width="54.33203125" bestFit="1" customWidth="1"/>
    <col min="3" max="4" width="13.6640625" bestFit="1" customWidth="1"/>
  </cols>
  <sheetData>
    <row r="1" spans="1:4" ht="12" customHeight="1" x14ac:dyDescent="0.2">
      <c r="A1" s="8"/>
      <c r="B1" s="8"/>
      <c r="C1" s="8"/>
      <c r="D1" s="8"/>
    </row>
    <row r="2" spans="1:4" ht="18" customHeight="1" x14ac:dyDescent="0.25">
      <c r="B2" s="9" t="s">
        <v>13</v>
      </c>
      <c r="C2" s="4" t="s">
        <v>8</v>
      </c>
      <c r="D2" s="3">
        <f>Twint[[#Totals],[Avoir]]-Twint[[#Totals],[Doit]]</f>
        <v>0</v>
      </c>
    </row>
    <row r="3" spans="1:4" ht="18" customHeight="1" x14ac:dyDescent="0.2">
      <c r="A3" s="5"/>
      <c r="C3" s="3">
        <f>Twint[[#Totals],[Doit]]</f>
        <v>2351</v>
      </c>
      <c r="D3" s="3">
        <f>Twint[[#Totals],[Avoir]]</f>
        <v>2351</v>
      </c>
    </row>
    <row r="4" spans="1:4" ht="12" customHeight="1" x14ac:dyDescent="0.2">
      <c r="A4" s="5"/>
      <c r="C4" s="2"/>
      <c r="D4" s="2"/>
    </row>
    <row r="5" spans="1:4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2">
      <c r="A6" s="10">
        <v>44626</v>
      </c>
      <c r="B6" s="18" t="s">
        <v>61</v>
      </c>
      <c r="C6" s="17"/>
      <c r="D6" s="17">
        <v>30</v>
      </c>
    </row>
    <row r="7" spans="1:4" x14ac:dyDescent="0.2">
      <c r="A7" s="10">
        <v>44626</v>
      </c>
      <c r="B7" s="18" t="s">
        <v>63</v>
      </c>
      <c r="C7" s="17"/>
      <c r="D7" s="17">
        <v>30</v>
      </c>
    </row>
    <row r="8" spans="1:4" x14ac:dyDescent="0.2">
      <c r="A8" s="10">
        <v>44626</v>
      </c>
      <c r="B8" s="18" t="s">
        <v>62</v>
      </c>
      <c r="C8" s="17"/>
      <c r="D8" s="17">
        <v>30</v>
      </c>
    </row>
    <row r="9" spans="1:4" x14ac:dyDescent="0.2">
      <c r="A9" s="10">
        <v>44629</v>
      </c>
      <c r="B9" s="18" t="s">
        <v>67</v>
      </c>
      <c r="C9" s="17">
        <v>88.83</v>
      </c>
      <c r="D9" s="17"/>
    </row>
    <row r="10" spans="1:4" x14ac:dyDescent="0.2">
      <c r="A10" s="10">
        <v>44629</v>
      </c>
      <c r="B10" s="18" t="s">
        <v>68</v>
      </c>
      <c r="C10" s="17">
        <v>1.17</v>
      </c>
      <c r="D10" s="17"/>
    </row>
    <row r="11" spans="1:4" x14ac:dyDescent="0.2">
      <c r="A11" s="10">
        <v>44682</v>
      </c>
      <c r="B11" s="18" t="s">
        <v>84</v>
      </c>
      <c r="C11" s="17"/>
      <c r="D11" s="17">
        <v>1997</v>
      </c>
    </row>
    <row r="12" spans="1:4" x14ac:dyDescent="0.2">
      <c r="A12" s="10">
        <v>44683</v>
      </c>
      <c r="B12" s="18" t="s">
        <v>85</v>
      </c>
      <c r="C12" s="17"/>
      <c r="D12" s="17">
        <v>264</v>
      </c>
    </row>
    <row r="13" spans="1:4" x14ac:dyDescent="0.2">
      <c r="A13" s="10">
        <v>44685</v>
      </c>
      <c r="B13" s="18" t="s">
        <v>91</v>
      </c>
      <c r="C13" s="17">
        <v>29.41</v>
      </c>
      <c r="D13" s="17"/>
    </row>
    <row r="14" spans="1:4" x14ac:dyDescent="0.2">
      <c r="A14" s="10">
        <v>44685</v>
      </c>
      <c r="B14" s="18" t="s">
        <v>92</v>
      </c>
      <c r="C14" s="17">
        <v>2231.59</v>
      </c>
      <c r="D14" s="17"/>
    </row>
    <row r="15" spans="1:4" x14ac:dyDescent="0.2">
      <c r="A15" s="10"/>
      <c r="B15" s="16"/>
      <c r="C15" s="17"/>
      <c r="D15" s="17"/>
    </row>
    <row r="16" spans="1:4" x14ac:dyDescent="0.2">
      <c r="A16" s="10"/>
      <c r="B16" s="16"/>
      <c r="C16" s="17"/>
      <c r="D16" s="17"/>
    </row>
    <row r="17" spans="1:4" x14ac:dyDescent="0.2">
      <c r="A17" s="10"/>
      <c r="B17" s="16"/>
      <c r="C17" s="17"/>
      <c r="D17" s="17"/>
    </row>
    <row r="18" spans="1:4" x14ac:dyDescent="0.2">
      <c r="A18" s="10"/>
      <c r="B18" s="16"/>
      <c r="C18" s="17"/>
      <c r="D18" s="17"/>
    </row>
    <row r="19" spans="1:4" x14ac:dyDescent="0.2">
      <c r="A19" s="10"/>
      <c r="B19" s="16"/>
      <c r="C19" s="17"/>
      <c r="D19" s="17"/>
    </row>
    <row r="20" spans="1:4" x14ac:dyDescent="0.2">
      <c r="A20" s="10"/>
      <c r="B20" s="16"/>
      <c r="C20" s="17"/>
      <c r="D20" s="17"/>
    </row>
    <row r="21" spans="1:4" x14ac:dyDescent="0.2">
      <c r="A21" s="10"/>
      <c r="B21" s="16"/>
      <c r="C21" s="17"/>
      <c r="D21" s="17"/>
    </row>
    <row r="22" spans="1:4" x14ac:dyDescent="0.2">
      <c r="A22" s="10"/>
      <c r="B22" s="16"/>
      <c r="C22" s="17"/>
      <c r="D22" s="17"/>
    </row>
    <row r="23" spans="1:4" x14ac:dyDescent="0.2">
      <c r="A23" s="10"/>
      <c r="B23" s="16"/>
      <c r="C23" s="17"/>
      <c r="D23" s="17"/>
    </row>
    <row r="24" spans="1:4" x14ac:dyDescent="0.2">
      <c r="A24" s="10"/>
      <c r="B24" s="16"/>
      <c r="C24" s="17"/>
      <c r="D24" s="17"/>
    </row>
    <row r="25" spans="1:4" x14ac:dyDescent="0.2">
      <c r="A25" s="10"/>
      <c r="B25" s="16"/>
      <c r="C25" s="17"/>
      <c r="D25" s="17"/>
    </row>
    <row r="26" spans="1:4" x14ac:dyDescent="0.2">
      <c r="A26" s="10"/>
      <c r="B26" s="16"/>
      <c r="C26" s="17"/>
      <c r="D26" s="17"/>
    </row>
    <row r="27" spans="1:4" x14ac:dyDescent="0.2">
      <c r="A27" s="10"/>
      <c r="B27" s="16"/>
      <c r="C27" s="17"/>
      <c r="D27" s="17"/>
    </row>
    <row r="28" spans="1:4" x14ac:dyDescent="0.2">
      <c r="A28" s="10"/>
      <c r="B28" s="16"/>
      <c r="C28" s="17"/>
      <c r="D28" s="17"/>
    </row>
    <row r="29" spans="1:4" x14ac:dyDescent="0.2">
      <c r="A29" s="10"/>
      <c r="B29" s="18"/>
      <c r="C29" s="17"/>
      <c r="D29" s="17"/>
    </row>
    <row r="30" spans="1:4" x14ac:dyDescent="0.2">
      <c r="A30" s="10"/>
      <c r="B30" s="18"/>
      <c r="C30" s="17"/>
      <c r="D30" s="17"/>
    </row>
    <row r="31" spans="1:4" x14ac:dyDescent="0.2">
      <c r="A31" s="10"/>
      <c r="B31" s="18"/>
      <c r="C31" s="17"/>
      <c r="D31" s="17"/>
    </row>
    <row r="32" spans="1:4" x14ac:dyDescent="0.2">
      <c r="A32" s="10"/>
      <c r="B32" s="18"/>
      <c r="C32" s="17"/>
      <c r="D32" s="17"/>
    </row>
    <row r="33" spans="1:4" x14ac:dyDescent="0.2">
      <c r="A33" s="10"/>
      <c r="B33" s="18"/>
      <c r="C33" s="17"/>
      <c r="D33" s="17"/>
    </row>
    <row r="34" spans="1:4" x14ac:dyDescent="0.2">
      <c r="A34" s="10"/>
      <c r="C34" s="17"/>
      <c r="D34" s="17"/>
    </row>
    <row r="35" spans="1:4" x14ac:dyDescent="0.2">
      <c r="A35" s="10"/>
      <c r="B35" s="18"/>
      <c r="C35" s="17"/>
      <c r="D35" s="17"/>
    </row>
    <row r="36" spans="1:4" x14ac:dyDescent="0.2">
      <c r="A36" s="10"/>
      <c r="B36" s="18"/>
      <c r="C36" s="17"/>
      <c r="D36" s="17"/>
    </row>
    <row r="37" spans="1:4" x14ac:dyDescent="0.2">
      <c r="A37" s="10"/>
      <c r="C37" s="17"/>
      <c r="D37" s="17"/>
    </row>
    <row r="38" spans="1:4" x14ac:dyDescent="0.2">
      <c r="A38" s="10"/>
      <c r="C38" s="17"/>
      <c r="D38" s="17"/>
    </row>
    <row r="39" spans="1:4" x14ac:dyDescent="0.2">
      <c r="A39" s="10"/>
      <c r="C39" s="17"/>
      <c r="D39" s="17"/>
    </row>
    <row r="40" spans="1:4" x14ac:dyDescent="0.2">
      <c r="A40" s="10"/>
      <c r="C40" s="17"/>
      <c r="D40" s="17"/>
    </row>
    <row r="41" spans="1:4" x14ac:dyDescent="0.2">
      <c r="A41" s="10"/>
      <c r="C41" s="17"/>
      <c r="D41" s="17"/>
    </row>
    <row r="42" spans="1:4" x14ac:dyDescent="0.2">
      <c r="A42" s="10"/>
      <c r="C42" s="17"/>
      <c r="D42" s="17"/>
    </row>
    <row r="43" spans="1:4" x14ac:dyDescent="0.2">
      <c r="A43" s="10"/>
      <c r="C43" s="17"/>
      <c r="D43" s="17"/>
    </row>
    <row r="44" spans="1:4" x14ac:dyDescent="0.2">
      <c r="A44" s="10"/>
      <c r="C44" s="17"/>
      <c r="D44" s="17"/>
    </row>
    <row r="45" spans="1:4" x14ac:dyDescent="0.2">
      <c r="A45" s="10"/>
      <c r="C45" s="17"/>
      <c r="D45" s="17"/>
    </row>
    <row r="46" spans="1:4" x14ac:dyDescent="0.2">
      <c r="A46" s="10"/>
      <c r="C46" s="17"/>
      <c r="D46" s="17"/>
    </row>
    <row r="47" spans="1:4" x14ac:dyDescent="0.2">
      <c r="A47" s="1" t="s">
        <v>8</v>
      </c>
      <c r="B47" s="20"/>
      <c r="C47" s="17">
        <f>SUBTOTAL(109,Twint[Doit])</f>
        <v>2351</v>
      </c>
      <c r="D47" s="17">
        <f>SUBTOTAL(109,Twint[Avoir])</f>
        <v>2351</v>
      </c>
    </row>
  </sheetData>
  <pageMargins left="0.70866141732283472" right="0.70866141732283472" top="0.74803149606299213" bottom="0.74803149606299213" header="0.31496062992125984" footer="0.31496062992125984"/>
  <pageSetup paperSize="9" scale="99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CD06-8679-47F8-94A7-E3DA46D9D676}">
  <sheetPr published="0">
    <pageSetUpPr fitToPage="1"/>
  </sheetPr>
  <dimension ref="A1:D18"/>
  <sheetViews>
    <sheetView zoomScaleNormal="100" workbookViewId="0">
      <selection activeCell="D17" sqref="A6:D17"/>
    </sheetView>
  </sheetViews>
  <sheetFormatPr defaultColWidth="11.44140625" defaultRowHeight="12.75" x14ac:dyDescent="0.2"/>
  <cols>
    <col min="1" max="1" width="8.33203125" bestFit="1" customWidth="1"/>
    <col min="2" max="2" width="46.33203125" bestFit="1" customWidth="1"/>
    <col min="3" max="4" width="13.6640625" bestFit="1" customWidth="1"/>
  </cols>
  <sheetData>
    <row r="1" spans="1:4" ht="12" customHeight="1" x14ac:dyDescent="0.2">
      <c r="A1" s="8"/>
      <c r="B1" s="8"/>
      <c r="C1" s="8"/>
      <c r="D1" s="8"/>
    </row>
    <row r="2" spans="1:4" ht="18" customHeight="1" x14ac:dyDescent="0.25">
      <c r="B2" s="9" t="s">
        <v>18</v>
      </c>
      <c r="C2" s="4" t="s">
        <v>8</v>
      </c>
      <c r="D2" s="3">
        <f>Caissier[[#Totals],[Avoir]]-Caissier[[#Totals],[Doit]]</f>
        <v>0</v>
      </c>
    </row>
    <row r="3" spans="1:4" ht="18" customHeight="1" x14ac:dyDescent="0.2">
      <c r="A3" s="5"/>
      <c r="C3" s="3">
        <f>Caissier[[#Totals],[Doit]]</f>
        <v>0</v>
      </c>
      <c r="D3" s="3">
        <f>Caissier[[#Totals],[Avoir]]</f>
        <v>0</v>
      </c>
    </row>
    <row r="4" spans="1:4" ht="12" customHeight="1" x14ac:dyDescent="0.2">
      <c r="A4" s="5"/>
      <c r="C4" s="2"/>
      <c r="D4" s="2"/>
    </row>
    <row r="5" spans="1:4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2">
      <c r="A6" s="10"/>
      <c r="B6" s="18"/>
      <c r="C6" s="17"/>
      <c r="D6" s="15"/>
    </row>
    <row r="7" spans="1:4" x14ac:dyDescent="0.2">
      <c r="A7" s="10"/>
      <c r="B7" s="18"/>
      <c r="C7" s="17"/>
      <c r="D7" s="17"/>
    </row>
    <row r="8" spans="1:4" x14ac:dyDescent="0.2">
      <c r="A8" s="10"/>
      <c r="B8" s="18"/>
      <c r="C8" s="17"/>
      <c r="D8" s="17"/>
    </row>
    <row r="9" spans="1:4" x14ac:dyDescent="0.2">
      <c r="A9" s="10"/>
      <c r="B9" s="18"/>
      <c r="C9" s="17"/>
      <c r="D9" s="17"/>
    </row>
    <row r="10" spans="1:4" x14ac:dyDescent="0.2">
      <c r="A10" s="10"/>
      <c r="B10" s="18"/>
      <c r="C10" s="17"/>
      <c r="D10" s="17"/>
    </row>
    <row r="11" spans="1:4" x14ac:dyDescent="0.2">
      <c r="A11" s="10"/>
      <c r="B11" s="18"/>
      <c r="C11" s="17"/>
      <c r="D11" s="17"/>
    </row>
    <row r="12" spans="1:4" x14ac:dyDescent="0.2">
      <c r="A12" s="10"/>
      <c r="B12" s="18"/>
      <c r="C12" s="17"/>
      <c r="D12" s="17"/>
    </row>
    <row r="13" spans="1:4" x14ac:dyDescent="0.2">
      <c r="A13" s="10"/>
      <c r="C13" s="17"/>
      <c r="D13" s="17"/>
    </row>
    <row r="14" spans="1:4" x14ac:dyDescent="0.2">
      <c r="A14" s="10"/>
      <c r="C14" s="17"/>
      <c r="D14" s="17"/>
    </row>
    <row r="15" spans="1:4" x14ac:dyDescent="0.2">
      <c r="A15" s="10"/>
      <c r="B15" s="16"/>
      <c r="C15" s="17"/>
      <c r="D15" s="17"/>
    </row>
    <row r="16" spans="1:4" x14ac:dyDescent="0.2">
      <c r="A16" s="10"/>
      <c r="B16" s="16"/>
      <c r="C16" s="17"/>
      <c r="D16" s="17"/>
    </row>
    <row r="17" spans="1:4" x14ac:dyDescent="0.2">
      <c r="A17" s="10"/>
      <c r="B17" s="16"/>
      <c r="C17" s="17"/>
      <c r="D17" s="17"/>
    </row>
    <row r="18" spans="1:4" x14ac:dyDescent="0.2">
      <c r="A18" s="1" t="s">
        <v>8</v>
      </c>
      <c r="B18" s="20"/>
      <c r="C18" s="17">
        <f>SUBTOTAL(109,Caissier[Doit])</f>
        <v>0</v>
      </c>
      <c r="D18" s="17">
        <f>SUBTOTAL(109,Caissier[Avoir])</f>
        <v>0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5373-E9B1-47AB-A456-F10EF27DEA59}">
  <sheetPr published="0">
    <pageSetUpPr fitToPage="1"/>
  </sheetPr>
  <dimension ref="A1:F24"/>
  <sheetViews>
    <sheetView tabSelected="1" zoomScaleNormal="100" workbookViewId="0">
      <selection activeCell="C6" sqref="C6:C16"/>
    </sheetView>
  </sheetViews>
  <sheetFormatPr defaultColWidth="11.44140625" defaultRowHeight="12.75" x14ac:dyDescent="0.2"/>
  <cols>
    <col min="1" max="1" width="8.33203125" bestFit="1" customWidth="1"/>
    <col min="2" max="2" width="43.44140625" bestFit="1" customWidth="1"/>
    <col min="3" max="4" width="13.6640625" bestFit="1" customWidth="1"/>
    <col min="6" max="6" width="12.109375" bestFit="1" customWidth="1"/>
  </cols>
  <sheetData>
    <row r="1" spans="1:6" ht="12" customHeight="1" x14ac:dyDescent="0.2">
      <c r="A1" s="8"/>
      <c r="B1" s="8"/>
      <c r="C1" s="8"/>
      <c r="D1" s="8"/>
    </row>
    <row r="2" spans="1:6" ht="18" customHeight="1" x14ac:dyDescent="0.25">
      <c r="B2" s="9" t="s">
        <v>12</v>
      </c>
      <c r="C2" s="4" t="s">
        <v>8</v>
      </c>
      <c r="D2" s="3">
        <f>D3-C3</f>
        <v>0</v>
      </c>
    </row>
    <row r="3" spans="1:6" ht="18" customHeight="1" x14ac:dyDescent="0.2">
      <c r="A3" s="5"/>
      <c r="C3" s="3">
        <f>Marché[[#Totals],[Doit]]</f>
        <v>4995.7999999999993</v>
      </c>
      <c r="D3" s="3">
        <f>Marché[[#Totals],[Avoir]]</f>
        <v>4995.8</v>
      </c>
    </row>
    <row r="4" spans="1:6" ht="12" customHeight="1" x14ac:dyDescent="0.2">
      <c r="A4" s="5"/>
      <c r="C4" s="2"/>
      <c r="D4" s="2"/>
    </row>
    <row r="5" spans="1:6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6" x14ac:dyDescent="0.2">
      <c r="A6" s="10">
        <v>44628</v>
      </c>
      <c r="B6" s="18" t="s">
        <v>66</v>
      </c>
      <c r="C6" s="17">
        <v>50</v>
      </c>
      <c r="D6" s="17"/>
    </row>
    <row r="7" spans="1:6" x14ac:dyDescent="0.2">
      <c r="A7" s="10">
        <v>44681</v>
      </c>
      <c r="B7" s="18" t="s">
        <v>83</v>
      </c>
      <c r="C7" s="17">
        <v>180</v>
      </c>
      <c r="D7" s="17"/>
    </row>
    <row r="8" spans="1:6" x14ac:dyDescent="0.2">
      <c r="A8" s="10">
        <v>44682</v>
      </c>
      <c r="B8" s="18" t="s">
        <v>84</v>
      </c>
      <c r="C8" s="17"/>
      <c r="D8" s="17">
        <v>1997</v>
      </c>
    </row>
    <row r="9" spans="1:6" x14ac:dyDescent="0.2">
      <c r="A9" s="10">
        <v>44682</v>
      </c>
      <c r="B9" s="18" t="s">
        <v>89</v>
      </c>
      <c r="C9" s="17"/>
      <c r="D9" s="17">
        <v>2673.8</v>
      </c>
    </row>
    <row r="10" spans="1:6" x14ac:dyDescent="0.2">
      <c r="A10" s="10">
        <v>44683</v>
      </c>
      <c r="B10" s="18" t="s">
        <v>85</v>
      </c>
      <c r="C10" s="17"/>
      <c r="D10" s="17">
        <v>264</v>
      </c>
    </row>
    <row r="11" spans="1:6" x14ac:dyDescent="0.2">
      <c r="A11" s="10">
        <v>44683</v>
      </c>
      <c r="B11" s="18" t="s">
        <v>86</v>
      </c>
      <c r="C11" s="17">
        <v>262.3</v>
      </c>
      <c r="D11" s="15"/>
    </row>
    <row r="12" spans="1:6" x14ac:dyDescent="0.2">
      <c r="A12" s="10">
        <v>44683</v>
      </c>
      <c r="B12" s="18" t="s">
        <v>87</v>
      </c>
      <c r="C12" s="17">
        <v>102</v>
      </c>
      <c r="D12" s="17"/>
      <c r="F12" s="17"/>
    </row>
    <row r="13" spans="1:6" x14ac:dyDescent="0.2">
      <c r="A13" s="10">
        <v>44684</v>
      </c>
      <c r="B13" s="18" t="s">
        <v>88</v>
      </c>
      <c r="C13" s="17">
        <v>1160</v>
      </c>
      <c r="D13" s="17"/>
    </row>
    <row r="14" spans="1:6" x14ac:dyDescent="0.2">
      <c r="A14" s="10">
        <v>44685</v>
      </c>
      <c r="B14" s="18" t="s">
        <v>90</v>
      </c>
      <c r="C14" s="17">
        <v>428.4</v>
      </c>
      <c r="D14" s="17"/>
    </row>
    <row r="15" spans="1:6" x14ac:dyDescent="0.2">
      <c r="A15" s="10">
        <v>44685</v>
      </c>
      <c r="B15" s="18" t="s">
        <v>91</v>
      </c>
      <c r="C15" s="17">
        <v>29.41</v>
      </c>
      <c r="D15" s="17"/>
    </row>
    <row r="16" spans="1:6" x14ac:dyDescent="0.2">
      <c r="A16" s="10">
        <v>44695</v>
      </c>
      <c r="B16" s="18" t="s">
        <v>94</v>
      </c>
      <c r="C16" s="17">
        <v>800</v>
      </c>
      <c r="D16" s="15"/>
    </row>
    <row r="17" spans="1:6" x14ac:dyDescent="0.2">
      <c r="A17" s="10"/>
      <c r="B17" s="18"/>
      <c r="C17" s="17"/>
      <c r="D17" s="15"/>
    </row>
    <row r="18" spans="1:6" x14ac:dyDescent="0.2">
      <c r="A18" s="10"/>
      <c r="B18" s="18"/>
      <c r="C18" s="17"/>
      <c r="D18" s="15"/>
    </row>
    <row r="19" spans="1:6" x14ac:dyDescent="0.2">
      <c r="A19" s="11"/>
      <c r="B19" s="14" t="s">
        <v>95</v>
      </c>
      <c r="C19" s="15"/>
      <c r="D19" s="15">
        <v>61</v>
      </c>
    </row>
    <row r="20" spans="1:6" x14ac:dyDescent="0.2">
      <c r="A20" s="10"/>
      <c r="B20" s="14" t="s">
        <v>96</v>
      </c>
      <c r="C20" s="17">
        <v>1983.69</v>
      </c>
      <c r="D20" s="17"/>
      <c r="F20" s="17">
        <f>Marché[[#This Row],[Doit]]-1618</f>
        <v>365.69000000000005</v>
      </c>
    </row>
    <row r="21" spans="1:6" x14ac:dyDescent="0.2">
      <c r="A21" s="10"/>
      <c r="B21" s="18"/>
      <c r="C21" s="17"/>
      <c r="D21" s="17"/>
    </row>
    <row r="22" spans="1:6" x14ac:dyDescent="0.2">
      <c r="A22" s="11"/>
      <c r="B22" s="14"/>
      <c r="C22" s="15"/>
      <c r="D22" s="15"/>
    </row>
    <row r="23" spans="1:6" x14ac:dyDescent="0.2">
      <c r="A23" s="11"/>
      <c r="B23" s="14"/>
      <c r="C23" s="15"/>
      <c r="D23" s="15"/>
    </row>
    <row r="24" spans="1:6" x14ac:dyDescent="0.2">
      <c r="A24" t="s">
        <v>8</v>
      </c>
      <c r="B24" s="5"/>
      <c r="C24" s="17">
        <f>SUBTOTAL(109,Marché[Doit])</f>
        <v>4995.7999999999993</v>
      </c>
      <c r="D24" s="17">
        <f>SUBTOTAL(109,Marché[Avoir])</f>
        <v>4995.8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verticalDpi="597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6CC0-8900-43D8-B5D7-32B930873356}">
  <sheetPr published="0">
    <pageSetUpPr fitToPage="1"/>
  </sheetPr>
  <dimension ref="A1:D8"/>
  <sheetViews>
    <sheetView zoomScaleNormal="100" workbookViewId="0">
      <selection activeCell="A6" sqref="A6:XFD7"/>
    </sheetView>
  </sheetViews>
  <sheetFormatPr defaultColWidth="11.44140625" defaultRowHeight="12.75" x14ac:dyDescent="0.2"/>
  <cols>
    <col min="1" max="1" width="9.88671875" bestFit="1" customWidth="1"/>
    <col min="2" max="2" width="45.6640625" customWidth="1"/>
    <col min="3" max="4" width="13.6640625" bestFit="1" customWidth="1"/>
  </cols>
  <sheetData>
    <row r="1" spans="1:4" ht="12" customHeight="1" x14ac:dyDescent="0.2">
      <c r="A1" s="8"/>
      <c r="B1" s="8"/>
      <c r="C1" s="8"/>
      <c r="D1" s="8"/>
    </row>
    <row r="2" spans="1:4" ht="18" customHeight="1" x14ac:dyDescent="0.25">
      <c r="B2" s="9" t="s">
        <v>19</v>
      </c>
      <c r="C2" s="4" t="s">
        <v>8</v>
      </c>
      <c r="D2" s="3">
        <f>PassifsTransitoires[[#Totals],[Avoir]] - PassifsTransitoires[[#Totals],[Doit]]</f>
        <v>0</v>
      </c>
    </row>
    <row r="3" spans="1:4" ht="18" customHeight="1" x14ac:dyDescent="0.2">
      <c r="A3" s="5"/>
      <c r="C3" s="3">
        <f>PassifsTransitoires[[#Totals],[Doit]]</f>
        <v>0</v>
      </c>
      <c r="D3" s="3">
        <f>PassifsTransitoires[[#Totals],[Avoir]]</f>
        <v>0</v>
      </c>
    </row>
    <row r="4" spans="1:4" ht="12" customHeight="1" x14ac:dyDescent="0.2">
      <c r="A4" s="5"/>
      <c r="C4" s="2"/>
      <c r="D4" s="2"/>
    </row>
    <row r="5" spans="1:4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2">
      <c r="A6" s="10"/>
      <c r="B6" s="16"/>
      <c r="C6" s="17"/>
      <c r="D6" s="17"/>
    </row>
    <row r="7" spans="1:4" x14ac:dyDescent="0.2">
      <c r="A7" s="10"/>
      <c r="B7" s="18"/>
      <c r="C7" s="17"/>
      <c r="D7" s="17"/>
    </row>
    <row r="8" spans="1:4" x14ac:dyDescent="0.2">
      <c r="A8" t="s">
        <v>8</v>
      </c>
      <c r="B8" s="20"/>
      <c r="C8" s="17">
        <f>SUBTOTAL(109,PassifsTransitoires[Doit])</f>
        <v>0</v>
      </c>
      <c r="D8" s="17">
        <f>SUBTOTAL(109,PassifsTransitoires[Avoir])</f>
        <v>0</v>
      </c>
    </row>
  </sheetData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pageSetUpPr fitToPage="1"/>
  </sheetPr>
  <dimension ref="A1:F9"/>
  <sheetViews>
    <sheetView zoomScaleNormal="100" workbookViewId="0">
      <selection activeCell="D8" sqref="A6:D8"/>
    </sheetView>
  </sheetViews>
  <sheetFormatPr defaultColWidth="11.44140625" defaultRowHeight="12.75" x14ac:dyDescent="0.2"/>
  <cols>
    <col min="1" max="1" width="8.33203125" bestFit="1" customWidth="1"/>
    <col min="2" max="2" width="45.6640625" customWidth="1"/>
    <col min="3" max="4" width="13.6640625" bestFit="1" customWidth="1"/>
    <col min="6" max="6" width="13.6640625" bestFit="1" customWidth="1"/>
  </cols>
  <sheetData>
    <row r="1" spans="1:6" ht="12" customHeight="1" x14ac:dyDescent="0.2">
      <c r="A1" s="8"/>
      <c r="B1" s="8"/>
      <c r="C1" s="8"/>
      <c r="D1" s="8"/>
    </row>
    <row r="2" spans="1:6" ht="18" customHeight="1" x14ac:dyDescent="0.25">
      <c r="B2" s="9" t="s">
        <v>2</v>
      </c>
      <c r="C2" s="4" t="s">
        <v>8</v>
      </c>
      <c r="D2" s="3">
        <f>Profits[[#Totals],[Avoir]]-Profits[[#Totals],[Doit]]</f>
        <v>0</v>
      </c>
    </row>
    <row r="3" spans="1:6" ht="18" customHeight="1" x14ac:dyDescent="0.2">
      <c r="A3" s="5"/>
      <c r="C3" s="3">
        <f>Profits[[#Totals],[Doit]]</f>
        <v>0</v>
      </c>
      <c r="D3" s="3">
        <f>Profits[[#Totals],[Avoir]]</f>
        <v>0</v>
      </c>
    </row>
    <row r="4" spans="1:6" ht="12" customHeight="1" x14ac:dyDescent="0.2">
      <c r="A4" s="5"/>
      <c r="C4" s="2"/>
      <c r="D4" s="2"/>
    </row>
    <row r="5" spans="1:6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6" x14ac:dyDescent="0.2">
      <c r="A6" s="10"/>
      <c r="B6" s="16"/>
      <c r="C6" s="17"/>
      <c r="D6" s="17"/>
    </row>
    <row r="7" spans="1:6" x14ac:dyDescent="0.2">
      <c r="A7" s="10"/>
      <c r="B7" s="16"/>
      <c r="C7" s="17"/>
      <c r="D7" s="17"/>
    </row>
    <row r="8" spans="1:6" x14ac:dyDescent="0.2">
      <c r="A8" s="10"/>
      <c r="B8" s="16"/>
      <c r="C8" s="17"/>
      <c r="D8" s="17"/>
      <c r="F8" s="17"/>
    </row>
    <row r="9" spans="1:6" x14ac:dyDescent="0.2">
      <c r="A9" s="1" t="s">
        <v>8</v>
      </c>
      <c r="B9" s="20"/>
      <c r="C9" s="17">
        <f>SUBTOTAL(109,Profits[Doit])</f>
        <v>0</v>
      </c>
      <c r="D9" s="17">
        <f>SUBTOTAL(109,Profits[Avoir])</f>
        <v>0</v>
      </c>
    </row>
  </sheetData>
  <pageMargins left="0.7" right="0.7" top="0.75" bottom="0.75" header="0.3" footer="0.3"/>
  <pageSetup paperSize="9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/>
  <dimension ref="A1:D8"/>
  <sheetViews>
    <sheetView zoomScaleNormal="100" workbookViewId="0">
      <selection activeCell="A6" sqref="A6"/>
    </sheetView>
  </sheetViews>
  <sheetFormatPr defaultColWidth="11.44140625" defaultRowHeight="12.75" x14ac:dyDescent="0.2"/>
  <cols>
    <col min="1" max="1" width="8.33203125" bestFit="1" customWidth="1"/>
    <col min="2" max="2" width="45.6640625" customWidth="1"/>
    <col min="3" max="3" width="17.109375" customWidth="1"/>
    <col min="4" max="4" width="14.6640625" bestFit="1" customWidth="1"/>
  </cols>
  <sheetData>
    <row r="1" spans="1:4" ht="12" customHeight="1" thickBot="1" x14ac:dyDescent="0.25">
      <c r="A1" s="8"/>
      <c r="B1" s="8"/>
      <c r="C1" s="8"/>
      <c r="D1" s="8"/>
    </row>
    <row r="2" spans="1:4" ht="18" customHeight="1" thickBot="1" x14ac:dyDescent="0.3">
      <c r="B2" s="9" t="s">
        <v>3</v>
      </c>
      <c r="C2" s="4" t="s">
        <v>8</v>
      </c>
      <c r="D2" s="24">
        <f>Capital[[#Totals],[Avoir]]-Capital[[#Totals],[Doit]]</f>
        <v>12780.84</v>
      </c>
    </row>
    <row r="3" spans="1:4" ht="18" customHeight="1" x14ac:dyDescent="0.2">
      <c r="A3" s="5"/>
      <c r="C3" s="3">
        <f>Capital[[#Totals],[Doit]]</f>
        <v>0</v>
      </c>
      <c r="D3" s="23">
        <f>Capital[[#Totals],[Avoir]]</f>
        <v>12780.84</v>
      </c>
    </row>
    <row r="4" spans="1:4" ht="12" customHeight="1" x14ac:dyDescent="0.2">
      <c r="A4" s="5"/>
      <c r="C4" s="2"/>
      <c r="D4" s="2"/>
    </row>
    <row r="5" spans="1:4" x14ac:dyDescent="0.2">
      <c r="A5" s="12" t="s">
        <v>4</v>
      </c>
      <c r="B5" s="5" t="s">
        <v>5</v>
      </c>
      <c r="C5" s="13" t="s">
        <v>6</v>
      </c>
      <c r="D5" s="13" t="s">
        <v>7</v>
      </c>
    </row>
    <row r="6" spans="1:4" x14ac:dyDescent="0.2">
      <c r="A6" s="11">
        <v>44561</v>
      </c>
      <c r="B6" s="16" t="s">
        <v>20</v>
      </c>
      <c r="C6" s="15"/>
      <c r="D6" s="15">
        <v>12780.84</v>
      </c>
    </row>
    <row r="7" spans="1:4" x14ac:dyDescent="0.2">
      <c r="A7" s="10"/>
      <c r="B7" s="16"/>
      <c r="C7" s="17"/>
      <c r="D7" s="17"/>
    </row>
    <row r="8" spans="1:4" x14ac:dyDescent="0.2">
      <c r="A8" t="s">
        <v>8</v>
      </c>
      <c r="B8" s="5"/>
      <c r="C8" s="17">
        <f>SUBTOTAL(109,Capital[Doit])</f>
        <v>0</v>
      </c>
      <c r="D8" s="17">
        <f>SUBTOTAL(109,Capital[Avoir])</f>
        <v>12780.84</v>
      </c>
    </row>
  </sheetData>
  <pageMargins left="0.7" right="0.7" top="0.75" bottom="0.75" header="0.3" footer="0.3"/>
  <pageSetup paperSize="9" scale="8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Journal</vt:lpstr>
      <vt:lpstr>Cotisations</vt:lpstr>
      <vt:lpstr>Caisse</vt:lpstr>
      <vt:lpstr>Raiffeisen</vt:lpstr>
      <vt:lpstr>Produits et Frais</vt:lpstr>
      <vt:lpstr>Twint</vt:lpstr>
      <vt:lpstr>Caissier</vt:lpstr>
      <vt:lpstr>Marché Villageois</vt:lpstr>
      <vt:lpstr>Passifs Transitoires</vt:lpstr>
      <vt:lpstr>Profits et Pertes</vt:lpstr>
      <vt:lpstr>Capital</vt:lpstr>
      <vt:lpstr>'Caisse'!Print_Area</vt:lpstr>
      <vt:lpstr>'Caissier'!Print_Area</vt:lpstr>
      <vt:lpstr>'Capital'!Print_Area</vt:lpstr>
      <vt:lpstr>'Cotisations'!Print_Area</vt:lpstr>
      <vt:lpstr>Journal!Print_Area</vt:lpstr>
      <vt:lpstr>'Marché Villageois'!Print_Area</vt:lpstr>
      <vt:lpstr>'Produits et Frais'!Print_Area</vt:lpstr>
      <vt:lpstr>'Profits et Pertes'!Print_Area</vt:lpstr>
      <vt:lpstr>'Raiffeisen'!Print_Area</vt:lpstr>
      <vt:lpstr>Twint!Print_Area</vt:lpstr>
      <vt:lpstr>'Caisse'!Print_Titles</vt:lpstr>
      <vt:lpstr>'Caissier'!Print_Titles</vt:lpstr>
      <vt:lpstr>'Cotisations'!Print_Titles</vt:lpstr>
      <vt:lpstr>Journal!Print_Titles</vt:lpstr>
      <vt:lpstr>'Marché Villageois'!Print_Titles</vt:lpstr>
      <vt:lpstr>'Produits et Frais'!Print_Titles</vt:lpstr>
      <vt:lpstr>'Raiffeisen'!Print_Titles</vt:lpstr>
      <vt:lpstr>Twint!Print_Titles</vt:lpstr>
    </vt:vector>
  </TitlesOfParts>
  <Company>Bach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Jean-Michel PERRET</dc:creator>
  <cp:lastModifiedBy>Thomas Merli</cp:lastModifiedBy>
  <cp:lastPrinted>2026-02-12T15:34:29Z</cp:lastPrinted>
  <dcterms:created xsi:type="dcterms:W3CDTF">2014-08-13T07:50:28Z</dcterms:created>
  <dcterms:modified xsi:type="dcterms:W3CDTF">2026-05-13T21:24:45Z</dcterms:modified>
</cp:coreProperties>
</file>