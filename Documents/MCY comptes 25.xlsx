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0e520b32c30e29/Motoclub/Compte/Moto club 2021 depuis 2021/"/>
    </mc:Choice>
  </mc:AlternateContent>
  <xr:revisionPtr revIDLastSave="5415" documentId="11_C04B4224DBB1912B1244344DD41F6C68740B34C1" xr6:coauthVersionLast="47" xr6:coauthVersionMax="47" xr10:uidLastSave="{47A8B02F-1A82-45E9-B8B1-BF5FA781EC77}"/>
  <bookViews>
    <workbookView xWindow="-120" yWindow="-120" windowWidth="38640" windowHeight="21120" tabRatio="909" activeTab="7" xr2:uid="{00000000-000D-0000-FFFF-FFFF00000000}"/>
  </bookViews>
  <sheets>
    <sheet name="Journal" sheetId="14" r:id="rId1"/>
    <sheet name="Cotisations" sheetId="4" r:id="rId2"/>
    <sheet name="Caisse" sheetId="3" r:id="rId3"/>
    <sheet name="Raiffeisen" sheetId="5" r:id="rId4"/>
    <sheet name="Produits et Frais" sheetId="6" r:id="rId5"/>
    <sheet name="Twint" sheetId="16" r:id="rId6"/>
    <sheet name="Caissier" sheetId="20" r:id="rId7"/>
    <sheet name="Marché Villageois" sheetId="15" r:id="rId8"/>
    <sheet name="Passifs Transitoires" sheetId="21" r:id="rId9"/>
    <sheet name="Profits et Pertes" sheetId="10" r:id="rId10"/>
    <sheet name="Capital" sheetId="11" r:id="rId11"/>
  </sheets>
  <definedNames>
    <definedName name="_xlnm.Print_Titles" localSheetId="2">'Caisse'!$2:$5</definedName>
    <definedName name="_xlnm.Print_Titles" localSheetId="6">'Caissier'!$2:$5</definedName>
    <definedName name="_xlnm.Print_Titles" localSheetId="1">'Cotisations'!$2:$5</definedName>
    <definedName name="_xlnm.Print_Titles" localSheetId="0">Journal!$2:$4</definedName>
    <definedName name="_xlnm.Print_Titles" localSheetId="7">'Marché Villageois'!$2:$5</definedName>
    <definedName name="_xlnm.Print_Titles" localSheetId="4">'Produits et Frais'!$2:$5</definedName>
    <definedName name="_xlnm.Print_Titles" localSheetId="3">'Raiffeisen'!$2:$5</definedName>
    <definedName name="_xlnm.Print_Titles" localSheetId="5">Twint!$2:$5</definedName>
    <definedName name="_xlnm.Print_Area" localSheetId="2">'Caisse'!$A$1:$E$44</definedName>
    <definedName name="_xlnm.Print_Area" localSheetId="6">'Caissier'!$A$2:$D$18</definedName>
    <definedName name="_xlnm.Print_Area" localSheetId="10">'Capital'!$A$2:$D$8</definedName>
    <definedName name="_xlnm.Print_Area" localSheetId="1">'Cotisations'!$A$1:$D$51</definedName>
    <definedName name="_xlnm.Print_Area" localSheetId="0">Journal!$A$2:$D$162</definedName>
    <definedName name="_xlnm.Print_Area" localSheetId="7">'Marché Villageois'!$A$2:$D$23</definedName>
    <definedName name="_xlnm.Print_Area" localSheetId="4">'Produits et Frais'!$A$2:$D$77</definedName>
    <definedName name="_xlnm.Print_Area" localSheetId="9">'Profits et Pertes'!$A$2:$D$9</definedName>
    <definedName name="_xlnm.Print_Area" localSheetId="3">'Raiffeisen'!$A$1:$E$87</definedName>
    <definedName name="_xlnm.Print_Area" localSheetId="5">Twint!$A$2:$D$47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5" l="1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23" i="3"/>
  <c r="E24" i="3"/>
  <c r="E25" i="3"/>
  <c r="E43" i="3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D8" i="21"/>
  <c r="D3" i="21"/>
  <c r="C8" i="21"/>
  <c r="C3" i="21"/>
  <c r="C8" i="11"/>
  <c r="D8" i="11"/>
  <c r="D3" i="11"/>
  <c r="C9" i="10"/>
  <c r="D18" i="20"/>
  <c r="D3" i="20"/>
  <c r="C18" i="20"/>
  <c r="E6" i="5"/>
  <c r="E6" i="3"/>
  <c r="C23" i="15"/>
  <c r="C3" i="15"/>
  <c r="C44" i="3"/>
  <c r="C3" i="3"/>
  <c r="D44" i="3"/>
  <c r="D3" i="3"/>
  <c r="C47" i="16"/>
  <c r="C3" i="16"/>
  <c r="D47" i="16"/>
  <c r="C51" i="4"/>
  <c r="D51" i="4"/>
  <c r="D3" i="4"/>
  <c r="C77" i="6"/>
  <c r="C3" i="6"/>
  <c r="C87" i="5"/>
  <c r="C3" i="5"/>
  <c r="D87" i="5"/>
  <c r="D23" i="15"/>
  <c r="D3" i="15"/>
  <c r="C3" i="11"/>
  <c r="D2" i="11"/>
  <c r="D2" i="21"/>
  <c r="D9" i="10"/>
  <c r="D3" i="10"/>
  <c r="D77" i="6"/>
  <c r="C3" i="10"/>
  <c r="D2" i="10"/>
  <c r="C3" i="4"/>
  <c r="D2" i="4"/>
  <c r="C3" i="20"/>
  <c r="D2" i="20"/>
  <c r="D2" i="16"/>
  <c r="D3" i="16"/>
  <c r="D2" i="3"/>
  <c r="D2" i="5"/>
  <c r="D3" i="5"/>
  <c r="D2" i="6"/>
  <c r="D3" i="6"/>
  <c r="D2" i="15"/>
</calcChain>
</file>

<file path=xl/sharedStrings.xml><?xml version="1.0" encoding="utf-8"?>
<sst xmlns="http://schemas.openxmlformats.org/spreadsheetml/2006/main" count="667" uniqueCount="205">
  <si>
    <t>Raiffeisen</t>
  </si>
  <si>
    <t>Produits et Frais</t>
  </si>
  <si>
    <t>Profits et Pertes</t>
  </si>
  <si>
    <t>Capital</t>
  </si>
  <si>
    <t>Date</t>
  </si>
  <si>
    <t>Libellé</t>
  </si>
  <si>
    <t>Doit</t>
  </si>
  <si>
    <t>Avoir</t>
  </si>
  <si>
    <t>Total</t>
  </si>
  <si>
    <t>Journal</t>
  </si>
  <si>
    <t>Caisse</t>
  </si>
  <si>
    <t>Cotisations</t>
  </si>
  <si>
    <t>Marché Villageois</t>
  </si>
  <si>
    <t>Twint</t>
  </si>
  <si>
    <t>Pièce</t>
  </si>
  <si>
    <t>Montant</t>
  </si>
  <si>
    <t>Courant</t>
  </si>
  <si>
    <t>R02</t>
  </si>
  <si>
    <t>Caissier</t>
  </si>
  <si>
    <t>Raiffeisen à Frais - Acompte Romande Energie</t>
  </si>
  <si>
    <t>Passifs Transitoires</t>
  </si>
  <si>
    <t>Capital - Bilan d'entrée</t>
  </si>
  <si>
    <t>Caisse - Solde à nouveau</t>
  </si>
  <si>
    <t>Raiffeisen - Solde à nouveau</t>
  </si>
  <si>
    <t>Passifs Transitoires - Vin souper fin année à payer</t>
  </si>
  <si>
    <t>Passifs Transitoires à Raiffeisen - Paiement vin souper fin année</t>
  </si>
  <si>
    <t>01</t>
  </si>
  <si>
    <t>02</t>
  </si>
  <si>
    <t>Raiffeisen à Frais - AXA Assurance RC</t>
  </si>
  <si>
    <t>Caisse à Raiffeisen - Versement Caisse (Billets)</t>
  </si>
  <si>
    <t>03</t>
  </si>
  <si>
    <t>Caisse à Raiffeisen - Versement Caisse (Monnaie)</t>
  </si>
  <si>
    <t>Raiffeisen à Frais - Cadeau Raphaël Merli (Hôtel Cailler)</t>
  </si>
  <si>
    <t>04</t>
  </si>
  <si>
    <t>Raiffeisen à Cotisations - Cotisation Monod Xavier</t>
  </si>
  <si>
    <t>05</t>
  </si>
  <si>
    <t>Raiffeisen à Cotisations - Cotisation Paulo Julio</t>
  </si>
  <si>
    <t>Raiffeisen à Cotisations - Cotisation Perret Jean-Michel</t>
  </si>
  <si>
    <t>Caissier à Cotisations - Cotisation Orlando Walter</t>
  </si>
  <si>
    <t>Caissier à Cotisations - Cotisation Orlando Fanny</t>
  </si>
  <si>
    <t>Caissier à Cotisations - Cotisation Schmid Madeleine</t>
  </si>
  <si>
    <t>Raiffeisen à Cotisations - Cotisation Da Silva Paulo</t>
  </si>
  <si>
    <t>Raiffeisen à Cotisations - Cotisation Moreno Mark</t>
  </si>
  <si>
    <t>Raiffeisen à Cotisations - Cotisation Hervé Ludovic</t>
  </si>
  <si>
    <t>Raiffeisen à Cotisations - Cotisation Figueira Eric</t>
  </si>
  <si>
    <t>Caisse à Cotisations - Cotisation Aeppli Jean</t>
  </si>
  <si>
    <t>Caisse à Cotisations - Cotisation Pousaz Jean-Pierre</t>
  </si>
  <si>
    <t>Raiffeisen à Cotisations - Cotisation Ansermoz Patrick</t>
  </si>
  <si>
    <t>Raiffeisen à Cotisations - Cotisation Ansermoz Jean-Luc</t>
  </si>
  <si>
    <t>Raiffeisen à Cotisations - Cotisation Blanchard Ami-Pierre</t>
  </si>
  <si>
    <t>Raiffeisen à Cotisations - Cotisation Wickart Rolf</t>
  </si>
  <si>
    <t>Raiffeisen à Cotisations - Cotisation Bonjour Cyrille</t>
  </si>
  <si>
    <t>Raiffeisen à Cotisations - Cotisation Aeppli Jean</t>
  </si>
  <si>
    <t>Raiffeisen à Cotisations - Cotisations Etienne Christophe</t>
  </si>
  <si>
    <t>R03</t>
  </si>
  <si>
    <t>Raiffeisen à Cotisations - Cotisation Maret Claude</t>
  </si>
  <si>
    <t>Raiffeisen à Cotisations - Cotisation Perez David</t>
  </si>
  <si>
    <t>Raiffeisen à Cotisations - Cotisation Perez Véronique</t>
  </si>
  <si>
    <t>Raiffeisen à Cotisations - Cotisation Blanc Frédéric</t>
  </si>
  <si>
    <t>Raiffeisen à Cotisations - Cotisation Bibbo Mario</t>
  </si>
  <si>
    <t>Raiffeisen à Cotisations - Cotisation Marmottin Sébastien</t>
  </si>
  <si>
    <t>Caisse à Frais - Envoi cotisations AG (Walter)</t>
  </si>
  <si>
    <t>07</t>
  </si>
  <si>
    <t>08</t>
  </si>
  <si>
    <t>Caisse à Frais - Fromage raclette AG (Thomas)</t>
  </si>
  <si>
    <t>06</t>
  </si>
  <si>
    <t>Raiffeisen à Frais - Achat vin assemblée</t>
  </si>
  <si>
    <t>Twint à Cotisations - Cotisations Merli Raphaël</t>
  </si>
  <si>
    <t>Twint à Cotisations - Cotisation Etienne Jean-Marc</t>
  </si>
  <si>
    <t>Twint à Produits - Vente vin assemblée</t>
  </si>
  <si>
    <t>Caissier à Cotisations - Cotisation Carciola Adrien</t>
  </si>
  <si>
    <t>Caisse à Cotisations - Cotisation Delacrétaz Murielle</t>
  </si>
  <si>
    <t>Caisse à Cotisations - Cotisation Devaud Jean-Pierre</t>
  </si>
  <si>
    <t>Caisse à Cotisations - Cotisation Roux Sébastien</t>
  </si>
  <si>
    <t>Caisse à Cotisations - Cotisation Roth Bruno</t>
  </si>
  <si>
    <t>Caisse à Cotisations - Cotisation Pilet Fabrice</t>
  </si>
  <si>
    <t>Caisse à Cotisations - Cotisation Riedo Robert</t>
  </si>
  <si>
    <t>Caisse à Cotisations - Cotisation Carchedi Fortune</t>
  </si>
  <si>
    <t>Caisse à Cotisations - Cotisation Sauthier Monique</t>
  </si>
  <si>
    <t>Caisse à Cotisations - Cotisation Maeder Jean-Daniel</t>
  </si>
  <si>
    <t>Caisse à Produits - Vente vin assemblée</t>
  </si>
  <si>
    <t>Twint à Raiffeisen - Décompte Twint Assemblée</t>
  </si>
  <si>
    <t>Twint à Frais - Frais Twint Assemblée</t>
  </si>
  <si>
    <t>Raiffeisen à Cotisations - Cotisation Monod Fabrice</t>
  </si>
  <si>
    <t>Raiffeisen à Cotisations - Cotisation Richard Christian</t>
  </si>
  <si>
    <t>Raiffeisen à Frais - Taxes tenue de compte</t>
  </si>
  <si>
    <t xml:space="preserve">Twint à Produits - Tournée d'Adrien sortie comité </t>
  </si>
  <si>
    <t>R04</t>
  </si>
  <si>
    <t>Raiffeisen à Frais - Repas sortie comité</t>
  </si>
  <si>
    <t>Caissier à Frais - Train sortie comité</t>
  </si>
  <si>
    <t>09</t>
  </si>
  <si>
    <t>Twint à Raiffeisen - Décompte Twint sortie comité</t>
  </si>
  <si>
    <t>Twint à Frais - Frais Twint sortie comité</t>
  </si>
  <si>
    <t>Raiffeisen à Produits - Crédit Romande Energie SA</t>
  </si>
  <si>
    <t>Raiffeisen à Cotisations - Cotisation Martins Marcelo</t>
  </si>
  <si>
    <t>Twint à Produits - Vente boissons local</t>
  </si>
  <si>
    <t>Twint à Raiffeisen - Décompte Twint local</t>
  </si>
  <si>
    <t>Twint à Frais - Frais Twint</t>
  </si>
  <si>
    <t>Raiffeisen à Frais - Achat caisse à verres</t>
  </si>
  <si>
    <t>R05</t>
  </si>
  <si>
    <t>Caisse à Frais - Achat plastifieuse</t>
  </si>
  <si>
    <t>Caisse à Frais - Achat papier plastifieuse</t>
  </si>
  <si>
    <t>Caisse à Frais - Achat verres</t>
  </si>
  <si>
    <t>Caisse à Marché - Achat pain</t>
  </si>
  <si>
    <t>Caisse à Marché - Achat gaz</t>
  </si>
  <si>
    <t>Caisse à Marché - Achat glaçons</t>
  </si>
  <si>
    <t>Caisse à Marché - Salade pâtes</t>
  </si>
  <si>
    <t>Caisse à Marché - Achats Prodega</t>
  </si>
  <si>
    <t>Raiffeisen à Caisse - Fonds de caisse marché</t>
  </si>
  <si>
    <t>Twint à Raiffeisen - Décompte Twint marché</t>
  </si>
  <si>
    <t>Twint à Frais - Frais Twint marché</t>
  </si>
  <si>
    <t>Twint à Marché - Vente marché</t>
  </si>
  <si>
    <t>Caisse à Marché - Produit caisse marché</t>
  </si>
  <si>
    <t>Raiffeisen à Frais - Café tour du lac</t>
  </si>
  <si>
    <t>Twint à Frais - Frais Twint local</t>
  </si>
  <si>
    <t>Raiffeisen à Frais - Romande Energie SA</t>
  </si>
  <si>
    <t>Raiffeisen à Marché - Achat boucherie des Tilleuls</t>
  </si>
  <si>
    <t>Raiffeisen à Marché - Achat boissons Petite Cave</t>
  </si>
  <si>
    <t>Raiffeisen à Marché - Achat patente Commune</t>
  </si>
  <si>
    <t>Caisse à Marché - Achat vin Domaine Dillet</t>
  </si>
  <si>
    <t>Caissier à Marché - Rachat viande Walter</t>
  </si>
  <si>
    <t>Marché à Frais - Rachat 12btes rouges</t>
  </si>
  <si>
    <t>Raiffeisen à Frais - Café sortie Jura</t>
  </si>
  <si>
    <t>Raiffeisen à Marché - Produit école de musique</t>
  </si>
  <si>
    <t>Caissier à Marché - Rachat viande Marmottin</t>
  </si>
  <si>
    <t>Raiffeisen à Frais - Achats boissons local</t>
  </si>
  <si>
    <t>Raiffeisen à Marché - Rachat viande Orlando</t>
  </si>
  <si>
    <t>Marché à Produits - Bénéfices Marché</t>
  </si>
  <si>
    <t>Twint à Cotistations - Cotisation Echenard Patrick</t>
  </si>
  <si>
    <t>Twint à Raiffaisen - Décompte Twint Cotisation</t>
  </si>
  <si>
    <t>Twint à Frais - Frais Twint Cotisation</t>
  </si>
  <si>
    <t>Twint à Produits - Vente local</t>
  </si>
  <si>
    <t>Twint à Raiffeisen - Décompte vente local</t>
  </si>
  <si>
    <t>Raiffeisen à Cotisations - Cotisation Benassi Marco</t>
  </si>
  <si>
    <t>Raiffeisen à Frais - Taxe annuelle carte VISA</t>
  </si>
  <si>
    <t>Caisse à Raiffeisen - Transfert banque billets</t>
  </si>
  <si>
    <t>Caisse à Raiffeisen - Transfert banque monnaie</t>
  </si>
  <si>
    <t>Caisse à Frais - Achats Prodega broche</t>
  </si>
  <si>
    <t>Raiffeisen à Frais - Achats Viande broche</t>
  </si>
  <si>
    <t>Twint à Produits - Vente Broche</t>
  </si>
  <si>
    <t>Twint à Raiffeisen - Décompte vente broche</t>
  </si>
  <si>
    <t>Twint à Frais - Frais twint broche</t>
  </si>
  <si>
    <t>Raiffeisen à Frais - Café sortie du 24.08</t>
  </si>
  <si>
    <t>Raiffeisen à Frais - Achat boissons broche</t>
  </si>
  <si>
    <t>Raiffeisen à Frais - Achat vin broche</t>
  </si>
  <si>
    <t>Caissier à Produits - Vente local</t>
  </si>
  <si>
    <t>R01</t>
  </si>
  <si>
    <t>10</t>
  </si>
  <si>
    <t>21</t>
  </si>
  <si>
    <t>11</t>
  </si>
  <si>
    <t>31</t>
  </si>
  <si>
    <t>12</t>
  </si>
  <si>
    <t>22</t>
  </si>
  <si>
    <t>13</t>
  </si>
  <si>
    <t>14</t>
  </si>
  <si>
    <t>R06</t>
  </si>
  <si>
    <t>R07</t>
  </si>
  <si>
    <t>15</t>
  </si>
  <si>
    <t>16</t>
  </si>
  <si>
    <t>17</t>
  </si>
  <si>
    <t>20</t>
  </si>
  <si>
    <t>18</t>
  </si>
  <si>
    <t>19</t>
  </si>
  <si>
    <t>33</t>
  </si>
  <si>
    <t>23</t>
  </si>
  <si>
    <t>30</t>
  </si>
  <si>
    <t>32</t>
  </si>
  <si>
    <t>R08</t>
  </si>
  <si>
    <t>24</t>
  </si>
  <si>
    <t>R09</t>
  </si>
  <si>
    <t>25</t>
  </si>
  <si>
    <t>26</t>
  </si>
  <si>
    <t>27</t>
  </si>
  <si>
    <t>28</t>
  </si>
  <si>
    <t>29</t>
  </si>
  <si>
    <t>Caisse à Produits - Vente Broche</t>
  </si>
  <si>
    <t>Raiffeisen à Frais - Avance Hotel Cluse sortie 3 jours</t>
  </si>
  <si>
    <t>Raiffeisen à Frais - Avance Launch sortie 3 jours (57.20 EUR)</t>
  </si>
  <si>
    <t>Raiffeisen à Frais - Avance Hotel Gap sortie 3 jours (109.3 EUR)</t>
  </si>
  <si>
    <t>Raiffeisen à Frais - Repas sortie 3 jours (124 EUR)</t>
  </si>
  <si>
    <t>34</t>
  </si>
  <si>
    <t>Twint à Frais - Frais Twint remboursements</t>
  </si>
  <si>
    <t>Twint à Raiffeisen - Décompte remboursements</t>
  </si>
  <si>
    <t>Twint à Produis - Remb. sortie (315.14 CHF) jours + bière local</t>
  </si>
  <si>
    <t>Raiffeisen à Produits - Location tente Cartel</t>
  </si>
  <si>
    <t>35</t>
  </si>
  <si>
    <t>36</t>
  </si>
  <si>
    <t>Caisse à Frais - Souper fin année Adrien (guacamole)</t>
  </si>
  <si>
    <t>Caisse à Frais - Souper fin année Monique (sacs poubelles)</t>
  </si>
  <si>
    <t>37</t>
  </si>
  <si>
    <t>Raiffeisen à Frais - Achat Vin AVY</t>
  </si>
  <si>
    <t>Raiffeisen à Frais - Achats divers PRODEGA</t>
  </si>
  <si>
    <t>38</t>
  </si>
  <si>
    <t>Twint à Produits - Vente souper fin année</t>
  </si>
  <si>
    <t>Twint à Raiffeisen - Décompte souper fin année</t>
  </si>
  <si>
    <t>Twint à Frais - Frais twint souper</t>
  </si>
  <si>
    <t>R12</t>
  </si>
  <si>
    <t>Raiffeisen à Frais - Taxe tenue de compte</t>
  </si>
  <si>
    <t>Caisse à Produits - Vente souper</t>
  </si>
  <si>
    <t>Caissier à Cotisations - Cotisation Merli Thomas</t>
  </si>
  <si>
    <t>Caissier à Cotisations - Cotisation Nicolas Léa</t>
  </si>
  <si>
    <t>Caissier à Caisse - Bouclement</t>
  </si>
  <si>
    <t>Cotisations à PP - Produits des cotisations</t>
  </si>
  <si>
    <t>Frais à PP - Produits et frais (perte)</t>
  </si>
  <si>
    <t>PP à Capital - Transfert des bénéfices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</si>
</sst>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"/>
    <numFmt numFmtId="165" formatCode="_-* #,##0.00\ _C_H_F_-;\-* #,##0.00\ _C_H_F_-;_-* &quot;-&quot;??\ _C_H_F_-;_-@_-"/>
  </numFmts>
  <fonts count="5" x14ac:knownFonts="1">
    <font>
      <sz val="10"/>
      <name val="Geneva"/>
    </font>
    <font>
      <b/>
      <sz val="10"/>
      <name val="Geneva"/>
      <family val="2"/>
    </font>
    <font>
      <b/>
      <sz val="16"/>
      <name val="Geneva"/>
      <family val="2"/>
    </font>
    <font>
      <b/>
      <sz val="14"/>
      <name val="Geneva"/>
      <family val="2"/>
    </font>
    <font>
      <sz val="10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4" fontId="1" fillId="0" borderId="1" xfId="0" applyNumberFormat="1" applyFont="1" applyBorder="1"/>
    <xf numFmtId="4" fontId="1" fillId="0" borderId="0" xfId="0" applyNumberFormat="1" applyFont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left"/>
    </xf>
    <xf numFmtId="165" fontId="0" fillId="0" borderId="0" xfId="0" applyNumberFormat="1"/>
    <xf numFmtId="0" fontId="4" fillId="0" borderId="0" xfId="0" applyFont="1"/>
    <xf numFmtId="165" fontId="1" fillId="0" borderId="1" xfId="0" applyNumberFormat="1" applyFont="1" applyBorder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4" xfId="0" applyNumberFormat="1" applyFont="1" applyBorder="1"/>
    <xf numFmtId="4" fontId="1" fillId="0" borderId="3" xfId="0" applyNumberFormat="1" applyFont="1" applyBorder="1"/>
    <xf numFmtId="165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84"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1"/>
      </font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MC Style">
    <tableStyle name="MC Style" pivot="0" count="7" xr9:uid="{FF649ADC-5E2F-4773-8622-7E0AB6BF1CB3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B82FD-5CD9-4FBB-8986-F2C9CA1DF0D5}" name="Journal" displayName="Journal" ref="A4:D162" insertRowShift="1">
  <autoFilter ref="A4:D162" xr:uid="{7B2B82FD-5CD9-4FBB-8986-F2C9CA1DF0D5}"/>
  <tableColumns count="4">
    <tableColumn id="1" xr3:uid="{1E6EFBE9-9AB2-4F0F-AA74-58862F467333}" name="Date" totalsRowLabel="Total" totalsRowDxfId="76"/>
    <tableColumn id="2" xr3:uid="{3BD30684-FBC6-4069-9E7C-9B4A5DD203AB}" name="Libellé" totalsRowDxfId="75"/>
    <tableColumn id="3" xr3:uid="{65951C53-6827-49D9-A1F3-E5E9FCB48312}" name="Montant" totalsRowFunction="sum" dataDxfId="74" totalsRowDxfId="73"/>
    <tableColumn id="4" xr3:uid="{BB287E64-1DBA-43D3-BE5F-5BBF5F29993D}" name="Pièce" dataDxfId="72" totalsRowDxfId="71"/>
  </tableColumns>
  <tableStyleInfo name="MC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1EA0D9-63A3-45B6-8A3D-46D9476F5A7F}" name="Cotisations" displayName="Cotisations" ref="A5:D51" insertRowShift="1" totalsRowCount="1">
  <autoFilter ref="A5:D50" xr:uid="{441EA0D9-63A3-45B6-8A3D-46D9476F5A7F}"/>
  <tableColumns count="4">
    <tableColumn id="1" xr3:uid="{49D92EC4-1C6F-4FE9-AF8D-481217E1D86F}" name="Date" totalsRowLabel="Total" dataDxfId="70" totalsRowDxfId="69"/>
    <tableColumn id="2" xr3:uid="{4FC5DF4D-11C8-4CF7-91A8-B08F2913101E}" name="Libellé" dataDxfId="68" totalsRowDxfId="67"/>
    <tableColumn id="3" xr3:uid="{34150725-5E47-4365-890C-3AA8C6EF0762}" name="Doit" totalsRowFunction="sum" dataDxfId="66" totalsRowDxfId="65"/>
    <tableColumn id="4" xr3:uid="{8EBF3CEA-2F42-4F2B-B50C-012404D26F2B}" name="Avoir" totalsRowFunction="sum" dataDxfId="64" totalsRowDxfId="63"/>
  </tableColumns>
  <tableStyleInfo name="MC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781E4F-EC74-4C3F-A276-F686F1012EC0}" name="Caisse" displayName="Caisse" ref="A5:E44" insertRowShift="1" totalsRowCount="1">
  <autoFilter ref="A5:E43" xr:uid="{F5781E4F-EC74-4C3F-A276-F686F1012EC0}"/>
  <tableColumns count="5">
    <tableColumn id="1" xr3:uid="{C52466D9-6912-41AC-9B18-28C4A848F669}" name="Date" totalsRowLabel="Total"/>
    <tableColumn id="2" xr3:uid="{20A4029A-5781-4E15-A8BF-E8BCDDEFDBC6}" name="Libellé" dataDxfId="62" totalsRowDxfId="61"/>
    <tableColumn id="3" xr3:uid="{BE2AA2DA-5CD8-48CD-BFEF-4BF866E561E9}" name="Doit" totalsRowFunction="sum" dataDxfId="60" totalsRowDxfId="59"/>
    <tableColumn id="4" xr3:uid="{4BB8FBA1-6BD9-439F-B1D1-C7DE5FD585AF}" name="Avoir" totalsRowFunction="sum" dataDxfId="58" totalsRowDxfId="57"/>
    <tableColumn id="5" xr3:uid="{EFC0B188-361E-4E09-BDA0-19B0ECD8F9B4}" name="Courant" dataDxfId="56">
      <calculatedColumnFormula>SUM(INDEX(Caisse[Avoir],1):Caisse[[#This Row],[Avoir]])-SUM(INDEX(Caisse[Doit],1):Caisse[[#This Row],[Doit]])</calculatedColumnFormula>
    </tableColumn>
  </tableColumns>
  <tableStyleInfo name="MC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993A69-7BF1-48FC-BF8E-19CD93607689}" name="Raiffeisen" displayName="Raiffeisen" ref="A5:E87" insertRowShift="1" totalsRowCount="1">
  <autoFilter ref="A5:E86" xr:uid="{80993A69-7BF1-48FC-BF8E-19CD93607689}"/>
  <tableColumns count="5">
    <tableColumn id="1" xr3:uid="{8079245C-BA8D-4C36-9539-FF3F292AC015}" name="Date" totalsRowLabel="Total"/>
    <tableColumn id="2" xr3:uid="{748CFBAA-AF2D-4249-B225-5EE31F726995}" name="Libellé" dataDxfId="55" totalsRowDxfId="54"/>
    <tableColumn id="3" xr3:uid="{C24B7F5E-57EF-4489-8505-1D58571D5CEA}" name="Doit" totalsRowFunction="sum" dataDxfId="53" totalsRowDxfId="52"/>
    <tableColumn id="4" xr3:uid="{2D7F7F34-7CE7-4428-A99B-B633F99B7EBF}" name="Avoir" totalsRowFunction="sum" dataDxfId="51" totalsRowDxfId="50"/>
    <tableColumn id="5" xr3:uid="{A5A8049D-4440-4573-A3E7-746475FF4EA1}" name="Courant" dataDxfId="49">
      <calculatedColumnFormula>SUM(INDEX(Raiffeisen[Avoir],1):Raiffeisen[[#This Row],[Avoir]])-SUM(INDEX(Raiffeisen[Doit],1):Raiffeisen[[#This Row],[Doit]])</calculatedColumnFormula>
    </tableColumn>
  </tableColumns>
  <tableStyleInfo name="MC 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D0CFB4-E5E8-4CFC-BEB4-AE1E1C7B9076}" name="Produits" displayName="Produits" ref="A5:D77" insertRowShift="1" totalsRowCount="1">
  <autoFilter ref="A5:D76" xr:uid="{FFD0CFB4-E5E8-4CFC-BEB4-AE1E1C7B9076}"/>
  <tableColumns count="4">
    <tableColumn id="1" xr3:uid="{68085557-118C-42AA-B5BE-BC50F791B723}" name="Date" totalsRowLabel="Total"/>
    <tableColumn id="2" xr3:uid="{3E4551CD-A37D-44AD-8940-DF268C9AAA9C}" name="Libellé" dataDxfId="48" totalsRowDxfId="47"/>
    <tableColumn id="3" xr3:uid="{D46F46F2-56D0-461E-BFE4-20AB7CA6018B}" name="Doit" totalsRowFunction="sum" dataDxfId="46" totalsRowDxfId="45"/>
    <tableColumn id="4" xr3:uid="{4931A155-C620-449D-AC78-6E5D5788E2BE}" name="Avoir" totalsRowFunction="sum" dataDxfId="44" totalsRowDxfId="43"/>
  </tableColumns>
  <tableStyleInfo name="MC 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69D117-9A19-42C3-A1B3-629E2F173373}" name="Twint" displayName="Twint" ref="A5:D47" insertRowShift="1" totalsRowCount="1">
  <autoFilter ref="A5:D46" xr:uid="{A369D117-9A19-42C3-A1B3-629E2F173373}"/>
  <tableColumns count="4">
    <tableColumn id="1" xr3:uid="{5C6872AE-6487-4FC0-9BE4-D86B9FCA6899}" name="Date" totalsRowLabel="Total" dataDxfId="42" totalsRowDxfId="41"/>
    <tableColumn id="2" xr3:uid="{BB539062-C08B-4DFA-9E65-98E46DBA94B6}" name="Libellé" dataDxfId="40" totalsRowDxfId="39"/>
    <tableColumn id="3" xr3:uid="{67220DF7-926F-4526-B07E-F393DBEC8CB3}" name="Doit" totalsRowFunction="sum" dataDxfId="38" totalsRowDxfId="37"/>
    <tableColumn id="4" xr3:uid="{DA1B55A2-BEE4-4D62-92F1-C45CFBACEF74}" name="Avoir" totalsRowFunction="sum" dataDxfId="36" totalsRowDxfId="35"/>
  </tableColumns>
  <tableStyleInfo name="MC Sty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C2956-E7FC-4AE6-B27F-BE3D8F96A46C}" name="Caissier" displayName="Caissier" ref="A5:D18" insertRowShift="1" totalsRowCount="1">
  <autoFilter ref="A5:D17" xr:uid="{A369D117-9A19-42C3-A1B3-629E2F173373}"/>
  <tableColumns count="4">
    <tableColumn id="1" xr3:uid="{180168F1-39AA-4AF1-B2F4-C288C1934413}" name="Date" totalsRowLabel="Total" dataDxfId="34" totalsRowDxfId="33"/>
    <tableColumn id="2" xr3:uid="{A32A19C8-027A-42CD-B10A-5CA69D753FC5}" name="Libellé" dataDxfId="32" totalsRowDxfId="31"/>
    <tableColumn id="3" xr3:uid="{20836CB4-FCBC-4C24-87ED-207A986B6CF2}" name="Doit" totalsRowFunction="sum" dataDxfId="30" totalsRowDxfId="29"/>
    <tableColumn id="4" xr3:uid="{15540063-B69B-43D6-85F4-8C3266124B00}" name="Avoir" totalsRowFunction="sum" dataDxfId="28" totalsRowDxfId="27"/>
  </tableColumns>
  <tableStyleInfo name="MC Sty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3FEA47-39E6-4C17-A467-8F8CD2CEBC53}" name="Marché" displayName="Marché" ref="A5:D23" insertRowShift="1" totalsRowCount="1">
  <autoFilter ref="A5:D22" xr:uid="{623FEA47-39E6-4C17-A467-8F8CD2CEBC53}"/>
  <tableColumns count="4">
    <tableColumn id="1" xr3:uid="{BED98FDD-1A77-4C7A-A95D-F42506D3229F}" name="Date" totalsRowLabel="Total"/>
    <tableColumn id="2" xr3:uid="{9E1A121E-EFC9-4C8C-B55B-CCC463211570}" name="Libellé" dataDxfId="26" totalsRowDxfId="25"/>
    <tableColumn id="3" xr3:uid="{010A4713-611F-4A80-94D4-3C00D245DE6A}" name="Doit" totalsRowFunction="sum" dataDxfId="24" totalsRowDxfId="23"/>
    <tableColumn id="4" xr3:uid="{A6D96757-3620-4D4D-A0DD-3E767A6BACB4}" name="Avoir" totalsRowFunction="sum" dataDxfId="22" totalsRowDxfId="21"/>
  </tableColumns>
  <tableStyleInfo name="MC Sty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E3CFE1-2013-461D-AD1B-DE388D1E372D}" name="PassifsTransitoires" displayName="PassifsTransitoires" ref="A5:D8" insertRowShift="1" totalsRowCount="1">
  <autoFilter ref="A5:D7" xr:uid="{FFD0CFB4-E5E8-4CFC-BEB4-AE1E1C7B9076}"/>
  <tableColumns count="4">
    <tableColumn id="1" xr3:uid="{54A0EB2D-FA94-4623-9F6B-6B4A1012B03E}" name="Date" totalsRowLabel="Total" dataDxfId="20"/>
    <tableColumn id="2" xr3:uid="{61F73BAE-7998-4AA1-BEC0-A63A15B130FD}" name="Libellé" dataDxfId="19" totalsRowDxfId="18"/>
    <tableColumn id="3" xr3:uid="{250D2D62-C184-4967-AE53-951127A39D62}" name="Doit" totalsRowFunction="sum" dataDxfId="17" totalsRowDxfId="16"/>
    <tableColumn id="4" xr3:uid="{2A409F83-FDD7-4346-9A95-935187063002}" name="Avoir" totalsRowFunction="sum" dataDxfId="15" totalsRowDxfId="14"/>
  </tableColumns>
  <tableStyleInfo name="MC Sty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506219-8B6D-4D5A-86C3-2E3B84E8B7D8}" name="Profits" displayName="Profits" ref="A5:D9" insertRowShift="1" totalsRowCount="1">
  <autoFilter ref="A5:D8" xr:uid="{0D506219-8B6D-4D5A-86C3-2E3B84E8B7D8}"/>
  <tableColumns count="4">
    <tableColumn id="1" xr3:uid="{247196E6-CCE4-4DA0-A1CD-FA3FBE462935}" name="Date" totalsRowLabel="Total" dataDxfId="13" totalsRowDxfId="12"/>
    <tableColumn id="2" xr3:uid="{0746DAAE-A38D-4A9A-BB42-13FC726F5813}" name="Libellé" dataDxfId="11" totalsRowDxfId="10"/>
    <tableColumn id="3" xr3:uid="{AC99E7FC-1094-4EF5-9BAE-97E836FCC212}" name="Doit" totalsRowFunction="sum" dataDxfId="9" totalsRowDxfId="8"/>
    <tableColumn id="4" xr3:uid="{EE6B5E78-D639-44A9-9454-13B804006A37}" name="Avoir" totalsRowFunction="sum" dataDxfId="7" totalsRowDxfId="6"/>
  </tableColumns>
  <tableStyleInfo name="MC Sty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640F17-CAC1-4528-8EDB-21C91FE0299E}" name="Capital" displayName="Capital" ref="A5:D8" insertRowShift="1" totalsRowCount="1">
  <autoFilter ref="A5:D7" xr:uid="{53640F17-CAC1-4528-8EDB-21C91FE0299E}"/>
  <tableColumns count="4">
    <tableColumn id="1" xr3:uid="{05359D27-FD36-4FC4-B276-94A14D49553B}" name="Date" totalsRowLabel="Total"/>
    <tableColumn id="2" xr3:uid="{1268464D-FED2-4305-85A3-81017166079C}" name="Libellé" dataDxfId="5" totalsRowDxfId="4"/>
    <tableColumn id="3" xr3:uid="{1EAE8374-EEB4-4197-9FCD-95A6A6A7F2BF}" name="Doit" totalsRowFunction="sum" dataDxfId="3" totalsRowDxfId="2"/>
    <tableColumn id="4" xr3:uid="{5E9C141C-FC9F-436F-99D8-FC4A3005CD40}" name="Avoir" totalsRowFunction="sum" dataDxfId="1" totalsRowDxfId="0"/>
  </tableColumns>
  <tableStyleInfo name="MC Styl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7FC675-F2EB-4575-A2B0-DB793E6EE940}">
  <we:reference id="0e5d13db-0538-4610-b352-722875f9cd31" version="1.0.0.0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5C3E329-613F-4134-9A9A-FC4D0417FF80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1:F162"/>
  <sheetViews>
    <sheetView topLeftCell="A34" zoomScaleNormal="100" workbookViewId="0">
      <selection activeCell="A2" sqref="A2:D130"/>
    </sheetView>
  </sheetViews>
  <sheetFormatPr defaultColWidth="11.4609375" defaultRowHeight="12.75" x14ac:dyDescent="0.15"/>
  <cols>
    <col min="1" max="1" width="9.84375" bestFit="1" customWidth="1"/>
    <col min="2" max="2" width="55.421875" bestFit="1" customWidth="1"/>
    <col min="3" max="3" width="14.6953125" bestFit="1" customWidth="1"/>
    <col min="4" max="4" width="9.70703125" bestFit="1" customWidth="1"/>
    <col min="6" max="6" width="12.13671875" bestFit="1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A2" s="1"/>
      <c r="B2" s="9" t="s">
        <v>9</v>
      </c>
    </row>
    <row r="3" spans="1:4" ht="12" customHeight="1" x14ac:dyDescent="0.15">
      <c r="A3" s="1"/>
      <c r="B3" s="7"/>
      <c r="C3" s="6"/>
    </row>
    <row r="4" spans="1:4" x14ac:dyDescent="0.15">
      <c r="A4" t="s">
        <v>4</v>
      </c>
      <c r="B4" s="5" t="s">
        <v>5</v>
      </c>
      <c r="C4" s="22" t="s">
        <v>15</v>
      </c>
      <c r="D4" s="1" t="s">
        <v>14</v>
      </c>
    </row>
    <row r="5" spans="1:4" x14ac:dyDescent="0.15">
      <c r="A5" s="10">
        <v>44196</v>
      </c>
      <c r="B5" s="14" t="s">
        <v>21</v>
      </c>
      <c r="C5" s="15">
        <v>12443.8</v>
      </c>
      <c r="D5" s="23"/>
    </row>
    <row r="6" spans="1:4" x14ac:dyDescent="0.15">
      <c r="A6" s="10">
        <v>44196</v>
      </c>
      <c r="B6" s="18" t="s">
        <v>22</v>
      </c>
      <c r="C6" s="17">
        <v>5908</v>
      </c>
      <c r="D6" s="23"/>
    </row>
    <row r="7" spans="1:4" x14ac:dyDescent="0.15">
      <c r="A7" s="10">
        <v>44196</v>
      </c>
      <c r="B7" s="18" t="s">
        <v>23</v>
      </c>
      <c r="C7" s="17">
        <v>6780.95</v>
      </c>
      <c r="D7" s="23" t="s">
        <v>146</v>
      </c>
    </row>
    <row r="8" spans="1:4" x14ac:dyDescent="0.15">
      <c r="A8" s="10">
        <v>44196</v>
      </c>
      <c r="B8" s="16" t="s">
        <v>24</v>
      </c>
      <c r="C8" s="17">
        <v>245.15</v>
      </c>
      <c r="D8" s="23" t="s">
        <v>26</v>
      </c>
    </row>
    <row r="9" spans="1:4" x14ac:dyDescent="0.15">
      <c r="A9" s="10">
        <v>44222</v>
      </c>
      <c r="B9" s="18" t="s">
        <v>25</v>
      </c>
      <c r="C9" s="17">
        <v>245.15</v>
      </c>
      <c r="D9" s="23" t="s">
        <v>26</v>
      </c>
    </row>
    <row r="10" spans="1:4" x14ac:dyDescent="0.15">
      <c r="A10" s="11">
        <v>44224</v>
      </c>
      <c r="B10" s="18" t="s">
        <v>28</v>
      </c>
      <c r="C10" s="17">
        <v>215.25</v>
      </c>
      <c r="D10" s="23" t="s">
        <v>27</v>
      </c>
    </row>
    <row r="11" spans="1:4" x14ac:dyDescent="0.15">
      <c r="A11" s="10">
        <v>44225</v>
      </c>
      <c r="B11" s="18" t="s">
        <v>29</v>
      </c>
      <c r="C11" s="17">
        <v>4990</v>
      </c>
      <c r="D11" s="23" t="s">
        <v>30</v>
      </c>
    </row>
    <row r="12" spans="1:4" x14ac:dyDescent="0.15">
      <c r="A12" s="10">
        <v>44225</v>
      </c>
      <c r="B12" s="18" t="s">
        <v>31</v>
      </c>
      <c r="C12" s="17">
        <v>92</v>
      </c>
      <c r="D12" s="23" t="s">
        <v>30</v>
      </c>
    </row>
    <row r="13" spans="1:4" x14ac:dyDescent="0.15">
      <c r="A13" s="10">
        <v>44226</v>
      </c>
      <c r="B13" s="18" t="s">
        <v>32</v>
      </c>
      <c r="C13" s="17">
        <v>356</v>
      </c>
      <c r="D13" s="23" t="s">
        <v>33</v>
      </c>
    </row>
    <row r="14" spans="1:4" x14ac:dyDescent="0.15">
      <c r="A14" s="10">
        <v>44231</v>
      </c>
      <c r="B14" s="18" t="s">
        <v>38</v>
      </c>
      <c r="C14" s="17">
        <v>30</v>
      </c>
      <c r="D14" s="23"/>
    </row>
    <row r="15" spans="1:4" x14ac:dyDescent="0.15">
      <c r="A15" s="10">
        <v>44231</v>
      </c>
      <c r="B15" s="18" t="s">
        <v>39</v>
      </c>
      <c r="C15" s="17">
        <v>30</v>
      </c>
      <c r="D15" s="23"/>
    </row>
    <row r="16" spans="1:4" x14ac:dyDescent="0.15">
      <c r="A16" s="10">
        <v>44233</v>
      </c>
      <c r="B16" s="18" t="s">
        <v>40</v>
      </c>
      <c r="C16" s="17">
        <v>30</v>
      </c>
      <c r="D16" s="23"/>
    </row>
    <row r="17" spans="1:4" x14ac:dyDescent="0.15">
      <c r="A17" s="10">
        <v>44239</v>
      </c>
      <c r="B17" s="18" t="s">
        <v>34</v>
      </c>
      <c r="C17" s="17">
        <v>30</v>
      </c>
      <c r="D17" s="23" t="s">
        <v>17</v>
      </c>
    </row>
    <row r="18" spans="1:4" x14ac:dyDescent="0.15">
      <c r="A18" s="10">
        <v>44250</v>
      </c>
      <c r="B18" s="18" t="s">
        <v>19</v>
      </c>
      <c r="C18" s="17">
        <v>98</v>
      </c>
      <c r="D18" s="23" t="s">
        <v>35</v>
      </c>
    </row>
    <row r="19" spans="1:4" x14ac:dyDescent="0.15">
      <c r="A19" s="10">
        <v>44250</v>
      </c>
      <c r="B19" s="18" t="s">
        <v>36</v>
      </c>
      <c r="C19" s="17">
        <v>30</v>
      </c>
      <c r="D19" s="23" t="s">
        <v>17</v>
      </c>
    </row>
    <row r="20" spans="1:4" x14ac:dyDescent="0.15">
      <c r="A20" s="10">
        <v>44251</v>
      </c>
      <c r="B20" s="18" t="s">
        <v>37</v>
      </c>
      <c r="C20" s="17">
        <v>30</v>
      </c>
      <c r="D20" s="23" t="s">
        <v>17</v>
      </c>
    </row>
    <row r="21" spans="1:4" x14ac:dyDescent="0.15">
      <c r="A21" s="10">
        <v>44252</v>
      </c>
      <c r="B21" s="18" t="s">
        <v>41</v>
      </c>
      <c r="C21" s="17">
        <v>30</v>
      </c>
      <c r="D21" s="23" t="s">
        <v>17</v>
      </c>
    </row>
    <row r="22" spans="1:4" x14ac:dyDescent="0.15">
      <c r="A22" s="10">
        <v>44252</v>
      </c>
      <c r="B22" s="18" t="s">
        <v>42</v>
      </c>
      <c r="C22" s="17">
        <v>30</v>
      </c>
      <c r="D22" s="23" t="s">
        <v>17</v>
      </c>
    </row>
    <row r="23" spans="1:4" x14ac:dyDescent="0.15">
      <c r="A23" s="10">
        <v>44252</v>
      </c>
      <c r="B23" s="18" t="s">
        <v>43</v>
      </c>
      <c r="C23" s="17">
        <v>30</v>
      </c>
      <c r="D23" s="23" t="s">
        <v>17</v>
      </c>
    </row>
    <row r="24" spans="1:4" x14ac:dyDescent="0.15">
      <c r="A24" s="10">
        <v>44252</v>
      </c>
      <c r="B24" s="18" t="s">
        <v>45</v>
      </c>
      <c r="C24" s="17">
        <v>30</v>
      </c>
      <c r="D24" s="23"/>
    </row>
    <row r="25" spans="1:4" x14ac:dyDescent="0.15">
      <c r="A25" s="10">
        <v>44252</v>
      </c>
      <c r="B25" s="18" t="s">
        <v>46</v>
      </c>
      <c r="C25" s="17">
        <v>30</v>
      </c>
      <c r="D25" s="23"/>
    </row>
    <row r="26" spans="1:4" x14ac:dyDescent="0.15">
      <c r="A26" s="10">
        <v>44253</v>
      </c>
      <c r="B26" s="18" t="s">
        <v>44</v>
      </c>
      <c r="C26" s="17">
        <v>30</v>
      </c>
      <c r="D26" s="23" t="s">
        <v>17</v>
      </c>
    </row>
    <row r="27" spans="1:4" x14ac:dyDescent="0.15">
      <c r="A27" s="10">
        <v>44254</v>
      </c>
      <c r="B27" s="18" t="s">
        <v>47</v>
      </c>
      <c r="C27" s="17">
        <v>30</v>
      </c>
      <c r="D27" s="23" t="s">
        <v>17</v>
      </c>
    </row>
    <row r="28" spans="1:4" x14ac:dyDescent="0.15">
      <c r="A28" s="10">
        <v>44254</v>
      </c>
      <c r="B28" s="18" t="s">
        <v>48</v>
      </c>
      <c r="C28" s="17">
        <v>30</v>
      </c>
      <c r="D28" s="23" t="s">
        <v>17</v>
      </c>
    </row>
    <row r="29" spans="1:4" x14ac:dyDescent="0.15">
      <c r="A29" s="10">
        <v>44254</v>
      </c>
      <c r="B29" s="18" t="s">
        <v>49</v>
      </c>
      <c r="C29" s="17">
        <v>30</v>
      </c>
      <c r="D29" s="23" t="s">
        <v>17</v>
      </c>
    </row>
    <row r="30" spans="1:4" x14ac:dyDescent="0.15">
      <c r="A30" s="10">
        <v>44254</v>
      </c>
      <c r="B30" s="18" t="s">
        <v>50</v>
      </c>
      <c r="C30" s="17">
        <v>30</v>
      </c>
      <c r="D30" s="23" t="s">
        <v>17</v>
      </c>
    </row>
    <row r="31" spans="1:4" x14ac:dyDescent="0.15">
      <c r="A31" s="10">
        <v>44254</v>
      </c>
      <c r="B31" s="18" t="s">
        <v>51</v>
      </c>
      <c r="C31" s="17">
        <v>30</v>
      </c>
      <c r="D31" s="23" t="s">
        <v>17</v>
      </c>
    </row>
    <row r="32" spans="1:4" x14ac:dyDescent="0.15">
      <c r="A32" s="10">
        <v>44254</v>
      </c>
      <c r="B32" s="18" t="s">
        <v>52</v>
      </c>
      <c r="C32" s="17">
        <v>30</v>
      </c>
      <c r="D32" s="23" t="s">
        <v>17</v>
      </c>
    </row>
    <row r="33" spans="1:4" x14ac:dyDescent="0.15">
      <c r="A33" s="10">
        <v>44257</v>
      </c>
      <c r="B33" s="18" t="s">
        <v>53</v>
      </c>
      <c r="C33" s="17">
        <v>90</v>
      </c>
      <c r="D33" s="23" t="s">
        <v>54</v>
      </c>
    </row>
    <row r="34" spans="1:4" x14ac:dyDescent="0.15">
      <c r="A34" s="10">
        <v>44257</v>
      </c>
      <c r="B34" s="18" t="s">
        <v>55</v>
      </c>
      <c r="C34" s="17">
        <v>30</v>
      </c>
      <c r="D34" s="23" t="s">
        <v>54</v>
      </c>
    </row>
    <row r="35" spans="1:4" x14ac:dyDescent="0.15">
      <c r="A35" s="10">
        <v>44257</v>
      </c>
      <c r="B35" s="18" t="s">
        <v>56</v>
      </c>
      <c r="C35" s="17">
        <v>30</v>
      </c>
      <c r="D35" s="23" t="s">
        <v>54</v>
      </c>
    </row>
    <row r="36" spans="1:4" x14ac:dyDescent="0.15">
      <c r="A36" s="10">
        <v>44257</v>
      </c>
      <c r="B36" s="18" t="s">
        <v>57</v>
      </c>
      <c r="C36" s="17">
        <v>30</v>
      </c>
      <c r="D36" s="23" t="s">
        <v>54</v>
      </c>
    </row>
    <row r="37" spans="1:4" x14ac:dyDescent="0.15">
      <c r="A37" s="10">
        <v>44257</v>
      </c>
      <c r="B37" s="18" t="s">
        <v>58</v>
      </c>
      <c r="C37" s="17">
        <v>30</v>
      </c>
      <c r="D37" s="23" t="s">
        <v>54</v>
      </c>
    </row>
    <row r="38" spans="1:4" x14ac:dyDescent="0.15">
      <c r="A38" s="10">
        <v>44257</v>
      </c>
      <c r="B38" s="18" t="s">
        <v>59</v>
      </c>
      <c r="C38" s="17">
        <v>30</v>
      </c>
      <c r="D38" s="23" t="s">
        <v>54</v>
      </c>
    </row>
    <row r="39" spans="1:4" x14ac:dyDescent="0.15">
      <c r="A39" s="10">
        <v>44257</v>
      </c>
      <c r="B39" s="18" t="s">
        <v>60</v>
      </c>
      <c r="C39" s="17">
        <v>30</v>
      </c>
      <c r="D39" s="23" t="s">
        <v>54</v>
      </c>
    </row>
    <row r="40" spans="1:4" x14ac:dyDescent="0.15">
      <c r="A40" s="10">
        <v>44262</v>
      </c>
      <c r="B40" s="16" t="s">
        <v>61</v>
      </c>
      <c r="C40" s="17">
        <v>42</v>
      </c>
      <c r="D40" s="23" t="s">
        <v>65</v>
      </c>
    </row>
    <row r="41" spans="1:4" x14ac:dyDescent="0.15">
      <c r="A41" s="10">
        <v>44262</v>
      </c>
      <c r="B41" s="18" t="s">
        <v>64</v>
      </c>
      <c r="C41" s="17">
        <v>140</v>
      </c>
      <c r="D41" s="23" t="s">
        <v>65</v>
      </c>
    </row>
    <row r="42" spans="1:4" x14ac:dyDescent="0.15">
      <c r="A42" s="10">
        <v>44262</v>
      </c>
      <c r="B42" s="18" t="s">
        <v>66</v>
      </c>
      <c r="C42" s="17">
        <v>264</v>
      </c>
      <c r="D42" s="23" t="s">
        <v>62</v>
      </c>
    </row>
    <row r="43" spans="1:4" x14ac:dyDescent="0.15">
      <c r="A43" s="10">
        <v>44262</v>
      </c>
      <c r="B43" s="16" t="s">
        <v>67</v>
      </c>
      <c r="C43" s="17">
        <v>60</v>
      </c>
      <c r="D43" s="27"/>
    </row>
    <row r="44" spans="1:4" x14ac:dyDescent="0.15">
      <c r="A44" s="10">
        <v>44262</v>
      </c>
      <c r="B44" s="18" t="s">
        <v>68</v>
      </c>
      <c r="C44" s="17">
        <v>30</v>
      </c>
      <c r="D44" s="23"/>
    </row>
    <row r="45" spans="1:4" x14ac:dyDescent="0.15">
      <c r="A45" s="10">
        <v>44262</v>
      </c>
      <c r="B45" s="18" t="s">
        <v>69</v>
      </c>
      <c r="C45" s="17">
        <v>60</v>
      </c>
      <c r="D45" s="23"/>
    </row>
    <row r="46" spans="1:4" x14ac:dyDescent="0.15">
      <c r="A46" s="10">
        <v>44262</v>
      </c>
      <c r="B46" s="18" t="s">
        <v>70</v>
      </c>
      <c r="C46" s="17">
        <v>30</v>
      </c>
      <c r="D46" s="23"/>
    </row>
    <row r="47" spans="1:4" x14ac:dyDescent="0.15">
      <c r="A47" s="10">
        <v>44262</v>
      </c>
      <c r="B47" s="18" t="s">
        <v>71</v>
      </c>
      <c r="C47" s="17">
        <v>30</v>
      </c>
      <c r="D47" s="23"/>
    </row>
    <row r="48" spans="1:4" x14ac:dyDescent="0.15">
      <c r="A48" s="10">
        <v>44262</v>
      </c>
      <c r="B48" s="18" t="s">
        <v>72</v>
      </c>
      <c r="C48" s="17">
        <v>30</v>
      </c>
      <c r="D48" s="23"/>
    </row>
    <row r="49" spans="1:4" x14ac:dyDescent="0.15">
      <c r="A49" s="10">
        <v>44262</v>
      </c>
      <c r="B49" s="18" t="s">
        <v>73</v>
      </c>
      <c r="C49" s="17">
        <v>30</v>
      </c>
      <c r="D49" s="23"/>
    </row>
    <row r="50" spans="1:4" x14ac:dyDescent="0.15">
      <c r="A50" s="10">
        <v>44262</v>
      </c>
      <c r="B50" s="18" t="s">
        <v>74</v>
      </c>
      <c r="C50" s="17">
        <v>30</v>
      </c>
      <c r="D50" s="23"/>
    </row>
    <row r="51" spans="1:4" x14ac:dyDescent="0.15">
      <c r="A51" s="10">
        <v>44262</v>
      </c>
      <c r="B51" s="18" t="s">
        <v>75</v>
      </c>
      <c r="C51" s="17">
        <v>30</v>
      </c>
      <c r="D51" s="23"/>
    </row>
    <row r="52" spans="1:4" x14ac:dyDescent="0.15">
      <c r="A52" s="10">
        <v>44262</v>
      </c>
      <c r="B52" s="18" t="s">
        <v>76</v>
      </c>
      <c r="C52" s="17">
        <v>30</v>
      </c>
      <c r="D52" s="23"/>
    </row>
    <row r="53" spans="1:4" x14ac:dyDescent="0.15">
      <c r="A53" s="10">
        <v>44262</v>
      </c>
      <c r="B53" s="18" t="s">
        <v>77</v>
      </c>
      <c r="C53" s="17">
        <v>30</v>
      </c>
      <c r="D53" s="23"/>
    </row>
    <row r="54" spans="1:4" x14ac:dyDescent="0.15">
      <c r="A54" s="10">
        <v>44262</v>
      </c>
      <c r="B54" s="18" t="s">
        <v>78</v>
      </c>
      <c r="C54" s="17">
        <v>30</v>
      </c>
      <c r="D54" s="23"/>
    </row>
    <row r="55" spans="1:4" x14ac:dyDescent="0.15">
      <c r="A55" s="10">
        <v>44262</v>
      </c>
      <c r="B55" s="18" t="s">
        <v>79</v>
      </c>
      <c r="C55" s="17">
        <v>30</v>
      </c>
      <c r="D55" s="23"/>
    </row>
    <row r="56" spans="1:4" x14ac:dyDescent="0.15">
      <c r="A56" s="10">
        <v>44262</v>
      </c>
      <c r="B56" s="18" t="s">
        <v>80</v>
      </c>
      <c r="C56" s="17">
        <v>160</v>
      </c>
      <c r="D56" s="23"/>
    </row>
    <row r="57" spans="1:4" x14ac:dyDescent="0.15">
      <c r="A57" s="10">
        <v>44265</v>
      </c>
      <c r="B57" s="18" t="s">
        <v>81</v>
      </c>
      <c r="C57" s="17">
        <v>148.05000000000001</v>
      </c>
      <c r="D57" s="27" t="s">
        <v>54</v>
      </c>
    </row>
    <row r="58" spans="1:4" x14ac:dyDescent="0.15">
      <c r="A58" s="10">
        <v>44265</v>
      </c>
      <c r="B58" s="18" t="s">
        <v>82</v>
      </c>
      <c r="C58" s="17">
        <v>1.95</v>
      </c>
      <c r="D58" s="27" t="s">
        <v>54</v>
      </c>
    </row>
    <row r="59" spans="1:4" x14ac:dyDescent="0.15">
      <c r="A59" s="10">
        <v>44272</v>
      </c>
      <c r="B59" s="18" t="s">
        <v>83</v>
      </c>
      <c r="C59" s="17">
        <v>30</v>
      </c>
      <c r="D59" s="27" t="s">
        <v>54</v>
      </c>
    </row>
    <row r="60" spans="1:4" x14ac:dyDescent="0.15">
      <c r="A60" s="10">
        <v>44273</v>
      </c>
      <c r="B60" s="18" t="s">
        <v>84</v>
      </c>
      <c r="C60" s="17">
        <v>30</v>
      </c>
      <c r="D60" s="27" t="s">
        <v>54</v>
      </c>
    </row>
    <row r="61" spans="1:4" x14ac:dyDescent="0.15">
      <c r="A61" s="10">
        <v>44282</v>
      </c>
      <c r="B61" s="18" t="s">
        <v>85</v>
      </c>
      <c r="C61" s="17">
        <v>15</v>
      </c>
      <c r="D61" s="27" t="s">
        <v>54</v>
      </c>
    </row>
    <row r="62" spans="1:4" x14ac:dyDescent="0.15">
      <c r="A62" s="10">
        <v>44284</v>
      </c>
      <c r="B62" s="18" t="s">
        <v>86</v>
      </c>
      <c r="C62" s="17">
        <v>25</v>
      </c>
      <c r="D62" s="27" t="s">
        <v>87</v>
      </c>
    </row>
    <row r="63" spans="1:4" x14ac:dyDescent="0.15">
      <c r="A63" s="10">
        <v>44284</v>
      </c>
      <c r="B63" s="18" t="s">
        <v>88</v>
      </c>
      <c r="C63" s="17">
        <v>515</v>
      </c>
      <c r="D63" s="27" t="s">
        <v>63</v>
      </c>
    </row>
    <row r="64" spans="1:4" x14ac:dyDescent="0.15">
      <c r="A64" s="10">
        <v>44284</v>
      </c>
      <c r="B64" s="18" t="s">
        <v>89</v>
      </c>
      <c r="C64" s="17">
        <v>76.7</v>
      </c>
      <c r="D64" s="27" t="s">
        <v>90</v>
      </c>
    </row>
    <row r="65" spans="1:4" x14ac:dyDescent="0.15">
      <c r="A65" s="10">
        <v>44286</v>
      </c>
      <c r="B65" s="18" t="s">
        <v>91</v>
      </c>
      <c r="C65" s="26">
        <v>24.67</v>
      </c>
      <c r="D65" s="27" t="s">
        <v>87</v>
      </c>
    </row>
    <row r="66" spans="1:4" x14ac:dyDescent="0.15">
      <c r="A66" s="10">
        <v>44286</v>
      </c>
      <c r="B66" s="18" t="s">
        <v>92</v>
      </c>
      <c r="C66" s="17">
        <v>0.33</v>
      </c>
      <c r="D66" s="27" t="s">
        <v>87</v>
      </c>
    </row>
    <row r="67" spans="1:4" x14ac:dyDescent="0.15">
      <c r="A67" s="10">
        <v>44293</v>
      </c>
      <c r="B67" s="18" t="s">
        <v>93</v>
      </c>
      <c r="C67" s="17">
        <v>15</v>
      </c>
      <c r="D67" s="23" t="s">
        <v>87</v>
      </c>
    </row>
    <row r="68" spans="1:4" x14ac:dyDescent="0.15">
      <c r="A68" s="10">
        <v>44299</v>
      </c>
      <c r="B68" s="18" t="s">
        <v>94</v>
      </c>
      <c r="C68" s="17">
        <v>30</v>
      </c>
      <c r="D68" s="23" t="s">
        <v>87</v>
      </c>
    </row>
    <row r="69" spans="1:4" x14ac:dyDescent="0.15">
      <c r="A69" s="10">
        <v>44314</v>
      </c>
      <c r="B69" s="16" t="s">
        <v>95</v>
      </c>
      <c r="C69" s="17">
        <v>20</v>
      </c>
      <c r="D69" s="23" t="s">
        <v>87</v>
      </c>
    </row>
    <row r="70" spans="1:4" x14ac:dyDescent="0.15">
      <c r="A70" s="10">
        <v>44314</v>
      </c>
      <c r="B70" s="16" t="s">
        <v>96</v>
      </c>
      <c r="C70" s="17">
        <v>19.739999999999998</v>
      </c>
      <c r="D70" s="23" t="s">
        <v>87</v>
      </c>
    </row>
    <row r="71" spans="1:4" x14ac:dyDescent="0.15">
      <c r="A71" s="10">
        <v>44314</v>
      </c>
      <c r="B71" s="16" t="s">
        <v>97</v>
      </c>
      <c r="C71" s="17">
        <v>0.26</v>
      </c>
      <c r="D71" s="23" t="s">
        <v>87</v>
      </c>
    </row>
    <row r="72" spans="1:4" x14ac:dyDescent="0.15">
      <c r="A72" s="10">
        <v>44320</v>
      </c>
      <c r="B72" s="18" t="s">
        <v>98</v>
      </c>
      <c r="C72" s="17">
        <v>116.6</v>
      </c>
      <c r="D72" s="23" t="s">
        <v>147</v>
      </c>
    </row>
    <row r="73" spans="1:4" x14ac:dyDescent="0.15">
      <c r="A73" s="10">
        <v>44320</v>
      </c>
      <c r="B73" s="18" t="s">
        <v>108</v>
      </c>
      <c r="C73" s="17">
        <v>1000</v>
      </c>
      <c r="D73" s="23" t="s">
        <v>99</v>
      </c>
    </row>
    <row r="74" spans="1:4" x14ac:dyDescent="0.15">
      <c r="A74" s="10">
        <v>44321</v>
      </c>
      <c r="B74" s="16" t="s">
        <v>95</v>
      </c>
      <c r="C74" s="17">
        <v>23</v>
      </c>
      <c r="D74" s="23" t="s">
        <v>99</v>
      </c>
    </row>
    <row r="75" spans="1:4" x14ac:dyDescent="0.15">
      <c r="A75" s="10">
        <v>44321</v>
      </c>
      <c r="B75" s="16" t="s">
        <v>96</v>
      </c>
      <c r="C75" s="17">
        <v>22.7</v>
      </c>
      <c r="D75" s="23" t="s">
        <v>99</v>
      </c>
    </row>
    <row r="76" spans="1:4" x14ac:dyDescent="0.15">
      <c r="A76" s="10">
        <v>44321</v>
      </c>
      <c r="B76" s="16" t="s">
        <v>97</v>
      </c>
      <c r="C76" s="17">
        <v>0.3</v>
      </c>
      <c r="D76" s="23" t="s">
        <v>99</v>
      </c>
    </row>
    <row r="77" spans="1:4" x14ac:dyDescent="0.15">
      <c r="A77" s="10">
        <v>44323</v>
      </c>
      <c r="B77" s="18" t="s">
        <v>108</v>
      </c>
      <c r="C77" s="17">
        <v>1000</v>
      </c>
      <c r="D77" s="23" t="s">
        <v>99</v>
      </c>
    </row>
    <row r="78" spans="1:4" x14ac:dyDescent="0.15">
      <c r="A78" s="10">
        <v>44323</v>
      </c>
      <c r="B78" s="18" t="s">
        <v>108</v>
      </c>
      <c r="C78" s="17">
        <v>200</v>
      </c>
      <c r="D78" s="23" t="s">
        <v>99</v>
      </c>
    </row>
    <row r="79" spans="1:4" x14ac:dyDescent="0.15">
      <c r="A79" s="10">
        <v>44325</v>
      </c>
      <c r="B79" s="18" t="s">
        <v>100</v>
      </c>
      <c r="C79" s="17">
        <v>26</v>
      </c>
      <c r="D79" s="23" t="s">
        <v>149</v>
      </c>
    </row>
    <row r="80" spans="1:4" x14ac:dyDescent="0.15">
      <c r="A80" s="10">
        <v>44325</v>
      </c>
      <c r="B80" s="18" t="s">
        <v>101</v>
      </c>
      <c r="C80" s="17">
        <v>15</v>
      </c>
      <c r="D80" s="23" t="s">
        <v>149</v>
      </c>
    </row>
    <row r="81" spans="1:4" x14ac:dyDescent="0.15">
      <c r="A81" s="10">
        <v>44325</v>
      </c>
      <c r="B81" s="18" t="s">
        <v>102</v>
      </c>
      <c r="C81" s="17">
        <v>64</v>
      </c>
      <c r="D81" s="23" t="s">
        <v>149</v>
      </c>
    </row>
    <row r="82" spans="1:4" x14ac:dyDescent="0.15">
      <c r="A82" s="10">
        <v>44325</v>
      </c>
      <c r="B82" s="18" t="s">
        <v>103</v>
      </c>
      <c r="C82" s="17">
        <v>30</v>
      </c>
      <c r="D82" s="23" t="s">
        <v>151</v>
      </c>
    </row>
    <row r="83" spans="1:4" x14ac:dyDescent="0.15">
      <c r="A83" s="10">
        <v>44325</v>
      </c>
      <c r="B83" s="18" t="s">
        <v>104</v>
      </c>
      <c r="C83" s="17">
        <v>51</v>
      </c>
      <c r="D83" s="23" t="s">
        <v>151</v>
      </c>
    </row>
    <row r="84" spans="1:4" x14ac:dyDescent="0.15">
      <c r="A84" s="10">
        <v>44325</v>
      </c>
      <c r="B84" s="18" t="s">
        <v>105</v>
      </c>
      <c r="C84" s="17">
        <v>12.5</v>
      </c>
      <c r="D84" s="23" t="s">
        <v>151</v>
      </c>
    </row>
    <row r="85" spans="1:4" x14ac:dyDescent="0.15">
      <c r="A85" s="10">
        <v>44325</v>
      </c>
      <c r="B85" s="18" t="s">
        <v>106</v>
      </c>
      <c r="C85" s="17">
        <v>120</v>
      </c>
      <c r="D85" s="23" t="s">
        <v>153</v>
      </c>
    </row>
    <row r="86" spans="1:4" x14ac:dyDescent="0.15">
      <c r="A86" s="10">
        <v>44325</v>
      </c>
      <c r="B86" s="18" t="s">
        <v>107</v>
      </c>
      <c r="C86" s="17">
        <v>265.25</v>
      </c>
      <c r="D86" s="23" t="s">
        <v>154</v>
      </c>
    </row>
    <row r="87" spans="1:4" x14ac:dyDescent="0.15">
      <c r="A87" s="10">
        <v>44328</v>
      </c>
      <c r="B87" s="16" t="s">
        <v>111</v>
      </c>
      <c r="C87" s="17">
        <v>1514</v>
      </c>
      <c r="D87" s="23" t="s">
        <v>99</v>
      </c>
    </row>
    <row r="88" spans="1:4" x14ac:dyDescent="0.15">
      <c r="A88" s="10">
        <v>44328</v>
      </c>
      <c r="B88" s="16" t="s">
        <v>109</v>
      </c>
      <c r="C88" s="17">
        <v>1494.26</v>
      </c>
      <c r="D88" s="23" t="s">
        <v>99</v>
      </c>
    </row>
    <row r="89" spans="1:4" x14ac:dyDescent="0.15">
      <c r="A89" s="10">
        <v>44328</v>
      </c>
      <c r="B89" s="16" t="s">
        <v>110</v>
      </c>
      <c r="C89" s="17">
        <v>19.739999999999998</v>
      </c>
      <c r="D89" s="23" t="s">
        <v>99</v>
      </c>
    </row>
    <row r="90" spans="1:4" x14ac:dyDescent="0.15">
      <c r="A90" s="10">
        <v>44330</v>
      </c>
      <c r="B90" s="18" t="s">
        <v>112</v>
      </c>
      <c r="C90" s="17">
        <v>2460.75</v>
      </c>
      <c r="D90" s="23"/>
    </row>
    <row r="91" spans="1:4" x14ac:dyDescent="0.15">
      <c r="A91" s="10">
        <v>44332</v>
      </c>
      <c r="B91" s="18" t="s">
        <v>120</v>
      </c>
      <c r="C91" s="17">
        <v>95</v>
      </c>
      <c r="D91" s="23"/>
    </row>
    <row r="92" spans="1:4" x14ac:dyDescent="0.15">
      <c r="A92" s="10">
        <v>44341</v>
      </c>
      <c r="B92" s="18" t="s">
        <v>113</v>
      </c>
      <c r="C92" s="17">
        <v>54.4</v>
      </c>
      <c r="D92" s="23" t="s">
        <v>157</v>
      </c>
    </row>
    <row r="93" spans="1:4" x14ac:dyDescent="0.15">
      <c r="A93" s="10">
        <v>44342</v>
      </c>
      <c r="B93" s="16" t="s">
        <v>95</v>
      </c>
      <c r="C93" s="17">
        <v>14</v>
      </c>
      <c r="D93" s="23" t="s">
        <v>99</v>
      </c>
    </row>
    <row r="94" spans="1:4" x14ac:dyDescent="0.15">
      <c r="A94" s="10">
        <v>44342</v>
      </c>
      <c r="B94" s="16" t="s">
        <v>96</v>
      </c>
      <c r="C94" s="17">
        <v>13.82</v>
      </c>
      <c r="D94" s="23" t="s">
        <v>99</v>
      </c>
    </row>
    <row r="95" spans="1:4" x14ac:dyDescent="0.15">
      <c r="A95" s="10">
        <v>44342</v>
      </c>
      <c r="B95" s="16" t="s">
        <v>114</v>
      </c>
      <c r="C95" s="17">
        <v>0.18</v>
      </c>
      <c r="D95" s="23" t="s">
        <v>99</v>
      </c>
    </row>
    <row r="96" spans="1:4" x14ac:dyDescent="0.15">
      <c r="A96" s="10">
        <v>44350</v>
      </c>
      <c r="B96" s="18" t="s">
        <v>116</v>
      </c>
      <c r="C96" s="17">
        <v>852.6</v>
      </c>
      <c r="D96" s="23" t="s">
        <v>158</v>
      </c>
    </row>
    <row r="97" spans="1:4" x14ac:dyDescent="0.15">
      <c r="A97" s="10">
        <v>44350</v>
      </c>
      <c r="B97" s="18" t="s">
        <v>117</v>
      </c>
      <c r="C97" s="17">
        <v>318.7</v>
      </c>
      <c r="D97" s="23" t="s">
        <v>159</v>
      </c>
    </row>
    <row r="98" spans="1:4" x14ac:dyDescent="0.15">
      <c r="A98" s="10">
        <v>44350</v>
      </c>
      <c r="B98" s="18" t="s">
        <v>115</v>
      </c>
      <c r="C98" s="17">
        <v>41.45</v>
      </c>
      <c r="D98" s="23" t="s">
        <v>161</v>
      </c>
    </row>
    <row r="99" spans="1:4" x14ac:dyDescent="0.15">
      <c r="A99" s="10">
        <v>44350</v>
      </c>
      <c r="B99" s="18" t="s">
        <v>118</v>
      </c>
      <c r="C99" s="17">
        <v>50</v>
      </c>
      <c r="D99" s="23" t="s">
        <v>162</v>
      </c>
    </row>
    <row r="100" spans="1:4" x14ac:dyDescent="0.15">
      <c r="A100" s="10">
        <v>44357</v>
      </c>
      <c r="B100" s="18" t="s">
        <v>119</v>
      </c>
      <c r="C100" s="17">
        <v>1360</v>
      </c>
      <c r="D100" s="23" t="s">
        <v>160</v>
      </c>
    </row>
    <row r="101" spans="1:4" x14ac:dyDescent="0.15">
      <c r="A101" s="11">
        <v>44357</v>
      </c>
      <c r="B101" s="14" t="s">
        <v>121</v>
      </c>
      <c r="C101" s="17">
        <v>120</v>
      </c>
      <c r="D101" s="23"/>
    </row>
    <row r="102" spans="1:4" x14ac:dyDescent="0.15">
      <c r="A102" s="10">
        <v>44368</v>
      </c>
      <c r="B102" s="18" t="s">
        <v>122</v>
      </c>
      <c r="C102" s="17">
        <v>34.299999999999997</v>
      </c>
      <c r="D102" s="23" t="s">
        <v>148</v>
      </c>
    </row>
    <row r="103" spans="1:4" x14ac:dyDescent="0.15">
      <c r="A103" s="10">
        <v>44368</v>
      </c>
      <c r="B103" s="18" t="s">
        <v>124</v>
      </c>
      <c r="C103" s="17">
        <v>117</v>
      </c>
      <c r="D103" s="23"/>
    </row>
    <row r="104" spans="1:4" x14ac:dyDescent="0.15">
      <c r="A104" s="10">
        <v>44369</v>
      </c>
      <c r="B104" s="18" t="s">
        <v>123</v>
      </c>
      <c r="C104" s="17">
        <v>211</v>
      </c>
      <c r="D104" s="23" t="s">
        <v>152</v>
      </c>
    </row>
    <row r="105" spans="1:4" x14ac:dyDescent="0.15">
      <c r="A105" s="10">
        <v>44370</v>
      </c>
      <c r="B105" s="16" t="s">
        <v>95</v>
      </c>
      <c r="C105" s="17">
        <v>32</v>
      </c>
      <c r="D105" s="23" t="s">
        <v>155</v>
      </c>
    </row>
    <row r="106" spans="1:4" x14ac:dyDescent="0.15">
      <c r="A106" s="10">
        <v>44370</v>
      </c>
      <c r="B106" s="16" t="s">
        <v>96</v>
      </c>
      <c r="C106" s="17">
        <v>31.59</v>
      </c>
      <c r="D106" s="23" t="s">
        <v>155</v>
      </c>
    </row>
    <row r="107" spans="1:4" x14ac:dyDescent="0.15">
      <c r="A107" s="10">
        <v>44370</v>
      </c>
      <c r="B107" s="16" t="s">
        <v>114</v>
      </c>
      <c r="C107" s="17">
        <v>0.41</v>
      </c>
      <c r="D107" s="23" t="s">
        <v>155</v>
      </c>
    </row>
    <row r="108" spans="1:4" x14ac:dyDescent="0.15">
      <c r="A108" s="10">
        <v>44373</v>
      </c>
      <c r="B108" s="18" t="s">
        <v>85</v>
      </c>
      <c r="C108" s="17">
        <v>15</v>
      </c>
      <c r="D108" s="23" t="s">
        <v>155</v>
      </c>
    </row>
    <row r="109" spans="1:4" x14ac:dyDescent="0.15">
      <c r="A109" s="10">
        <v>44376</v>
      </c>
      <c r="B109" s="18" t="s">
        <v>125</v>
      </c>
      <c r="C109" s="17">
        <v>204</v>
      </c>
      <c r="D109" s="23" t="s">
        <v>164</v>
      </c>
    </row>
    <row r="110" spans="1:4" x14ac:dyDescent="0.15">
      <c r="A110" s="10">
        <v>44377</v>
      </c>
      <c r="B110" s="18" t="s">
        <v>128</v>
      </c>
      <c r="C110" s="17">
        <v>30</v>
      </c>
      <c r="D110" s="23" t="s">
        <v>156</v>
      </c>
    </row>
    <row r="111" spans="1:4" x14ac:dyDescent="0.15">
      <c r="A111" s="10">
        <v>44377</v>
      </c>
      <c r="B111" s="18" t="s">
        <v>129</v>
      </c>
      <c r="C111" s="17">
        <v>29.61</v>
      </c>
      <c r="D111" s="23" t="s">
        <v>156</v>
      </c>
    </row>
    <row r="112" spans="1:4" x14ac:dyDescent="0.15">
      <c r="A112" s="10">
        <v>44377</v>
      </c>
      <c r="B112" s="18" t="s">
        <v>130</v>
      </c>
      <c r="C112" s="17">
        <v>0.39</v>
      </c>
      <c r="D112" s="23" t="s">
        <v>156</v>
      </c>
    </row>
    <row r="113" spans="1:4" x14ac:dyDescent="0.15">
      <c r="A113" s="10">
        <v>44384</v>
      </c>
      <c r="B113" s="18" t="s">
        <v>131</v>
      </c>
      <c r="C113" s="17">
        <v>54</v>
      </c>
      <c r="D113" s="23" t="s">
        <v>156</v>
      </c>
    </row>
    <row r="114" spans="1:4" x14ac:dyDescent="0.15">
      <c r="A114" s="10">
        <v>44384</v>
      </c>
      <c r="B114" s="18" t="s">
        <v>132</v>
      </c>
      <c r="C114" s="17">
        <v>53.28</v>
      </c>
      <c r="D114" s="23" t="s">
        <v>156</v>
      </c>
    </row>
    <row r="115" spans="1:4" x14ac:dyDescent="0.15">
      <c r="A115" s="10">
        <v>44384</v>
      </c>
      <c r="B115" t="s">
        <v>114</v>
      </c>
      <c r="C115" s="17">
        <v>0.72</v>
      </c>
      <c r="D115" s="23" t="s">
        <v>156</v>
      </c>
    </row>
    <row r="116" spans="1:4" x14ac:dyDescent="0.15">
      <c r="A116" s="10">
        <v>44389</v>
      </c>
      <c r="B116" t="s">
        <v>145</v>
      </c>
      <c r="C116" s="17">
        <v>6</v>
      </c>
      <c r="D116" s="23"/>
    </row>
    <row r="117" spans="1:4" x14ac:dyDescent="0.15">
      <c r="A117" s="10">
        <v>44389</v>
      </c>
      <c r="B117" t="s">
        <v>145</v>
      </c>
      <c r="C117" s="17">
        <v>19</v>
      </c>
      <c r="D117" s="23"/>
    </row>
    <row r="118" spans="1:4" x14ac:dyDescent="0.15">
      <c r="A118" s="10">
        <v>44398</v>
      </c>
      <c r="B118" s="14" t="s">
        <v>126</v>
      </c>
      <c r="C118" s="17">
        <v>160.5</v>
      </c>
      <c r="D118" s="23" t="s">
        <v>168</v>
      </c>
    </row>
    <row r="119" spans="1:4" x14ac:dyDescent="0.15">
      <c r="A119" s="10">
        <v>44398</v>
      </c>
      <c r="B119" s="18" t="s">
        <v>131</v>
      </c>
      <c r="C119" s="17">
        <v>69</v>
      </c>
      <c r="D119" s="23" t="s">
        <v>156</v>
      </c>
    </row>
    <row r="120" spans="1:4" x14ac:dyDescent="0.15">
      <c r="A120" s="10">
        <v>44398</v>
      </c>
      <c r="B120" s="18" t="s">
        <v>132</v>
      </c>
      <c r="C120" s="17">
        <v>68.09</v>
      </c>
      <c r="D120" s="23" t="s">
        <v>156</v>
      </c>
    </row>
    <row r="121" spans="1:4" x14ac:dyDescent="0.15">
      <c r="A121" s="10">
        <v>44398</v>
      </c>
      <c r="B121" t="s">
        <v>114</v>
      </c>
      <c r="C121" s="17">
        <v>0.91</v>
      </c>
      <c r="D121" s="23" t="s">
        <v>156</v>
      </c>
    </row>
    <row r="122" spans="1:4" x14ac:dyDescent="0.15">
      <c r="A122" s="11">
        <v>44763</v>
      </c>
      <c r="B122" s="14" t="s">
        <v>127</v>
      </c>
      <c r="C122" s="17">
        <v>1618.2</v>
      </c>
      <c r="D122" s="23"/>
    </row>
    <row r="123" spans="1:4" x14ac:dyDescent="0.15">
      <c r="A123" s="10">
        <v>44404</v>
      </c>
      <c r="B123" t="s">
        <v>133</v>
      </c>
      <c r="C123" s="17">
        <v>30</v>
      </c>
      <c r="D123" s="23" t="s">
        <v>156</v>
      </c>
    </row>
    <row r="124" spans="1:4" x14ac:dyDescent="0.15">
      <c r="A124" s="10">
        <v>44407</v>
      </c>
      <c r="B124" t="s">
        <v>115</v>
      </c>
      <c r="C124" s="17">
        <v>70</v>
      </c>
      <c r="D124" s="23" t="s">
        <v>170</v>
      </c>
    </row>
    <row r="125" spans="1:4" x14ac:dyDescent="0.15">
      <c r="A125" s="10">
        <v>44422</v>
      </c>
      <c r="B125" t="s">
        <v>134</v>
      </c>
      <c r="C125" s="17">
        <v>48</v>
      </c>
      <c r="D125" s="23" t="s">
        <v>167</v>
      </c>
    </row>
    <row r="126" spans="1:4" x14ac:dyDescent="0.15">
      <c r="A126" s="10">
        <v>44423</v>
      </c>
      <c r="B126" t="s">
        <v>135</v>
      </c>
      <c r="C126" s="17">
        <v>2280</v>
      </c>
      <c r="D126" s="23" t="s">
        <v>171</v>
      </c>
    </row>
    <row r="127" spans="1:4" x14ac:dyDescent="0.15">
      <c r="A127" s="10">
        <v>44423</v>
      </c>
      <c r="B127" t="s">
        <v>136</v>
      </c>
      <c r="C127" s="17">
        <v>731</v>
      </c>
      <c r="D127" s="23" t="s">
        <v>171</v>
      </c>
    </row>
    <row r="128" spans="1:4" x14ac:dyDescent="0.15">
      <c r="A128" s="10">
        <v>44424</v>
      </c>
      <c r="B128" s="14" t="s">
        <v>137</v>
      </c>
      <c r="C128" s="17">
        <v>127</v>
      </c>
      <c r="D128" s="23" t="s">
        <v>172</v>
      </c>
    </row>
    <row r="129" spans="1:4" x14ac:dyDescent="0.15">
      <c r="A129" s="10">
        <v>44425</v>
      </c>
      <c r="B129" t="s">
        <v>138</v>
      </c>
      <c r="C129" s="17">
        <v>144.19999999999999</v>
      </c>
      <c r="D129" s="23" t="s">
        <v>173</v>
      </c>
    </row>
    <row r="130" spans="1:4" x14ac:dyDescent="0.15">
      <c r="A130" s="10">
        <v>44426</v>
      </c>
      <c r="B130" t="s">
        <v>139</v>
      </c>
      <c r="C130" s="17">
        <v>145.1</v>
      </c>
      <c r="D130" s="23" t="s">
        <v>167</v>
      </c>
    </row>
    <row r="131" spans="1:4" x14ac:dyDescent="0.15">
      <c r="A131" s="10">
        <v>44426</v>
      </c>
      <c r="B131" t="s">
        <v>140</v>
      </c>
      <c r="C131" s="17">
        <v>143.21</v>
      </c>
      <c r="D131" s="23" t="s">
        <v>167</v>
      </c>
    </row>
    <row r="132" spans="1:4" x14ac:dyDescent="0.15">
      <c r="A132" s="10">
        <v>44426</v>
      </c>
      <c r="B132" t="s">
        <v>141</v>
      </c>
      <c r="C132" s="17">
        <v>1.89</v>
      </c>
      <c r="D132" s="23" t="s">
        <v>167</v>
      </c>
    </row>
    <row r="133" spans="1:4" x14ac:dyDescent="0.15">
      <c r="A133" s="10">
        <v>44791</v>
      </c>
      <c r="B133" t="s">
        <v>175</v>
      </c>
      <c r="C133" s="17">
        <v>346</v>
      </c>
      <c r="D133" s="23"/>
    </row>
    <row r="134" spans="1:4" x14ac:dyDescent="0.15">
      <c r="A134" s="10">
        <v>44433</v>
      </c>
      <c r="B134" t="s">
        <v>142</v>
      </c>
      <c r="C134" s="17">
        <v>29.5</v>
      </c>
      <c r="D134" s="23" t="s">
        <v>174</v>
      </c>
    </row>
    <row r="135" spans="1:4" x14ac:dyDescent="0.15">
      <c r="A135" s="10">
        <v>44447</v>
      </c>
      <c r="B135" t="s">
        <v>143</v>
      </c>
      <c r="C135" s="17">
        <v>42</v>
      </c>
      <c r="D135" s="23" t="s">
        <v>165</v>
      </c>
    </row>
    <row r="136" spans="1:4" x14ac:dyDescent="0.15">
      <c r="A136" s="10">
        <v>44447</v>
      </c>
      <c r="B136" t="s">
        <v>143</v>
      </c>
      <c r="C136" s="17">
        <v>100.8</v>
      </c>
      <c r="D136" s="23" t="s">
        <v>150</v>
      </c>
    </row>
    <row r="137" spans="1:4" x14ac:dyDescent="0.15">
      <c r="A137" s="10">
        <v>44447</v>
      </c>
      <c r="B137" t="s">
        <v>144</v>
      </c>
      <c r="C137" s="17">
        <v>334.7</v>
      </c>
      <c r="D137" s="23" t="s">
        <v>166</v>
      </c>
    </row>
    <row r="138" spans="1:4" x14ac:dyDescent="0.15">
      <c r="A138" s="10">
        <v>44818</v>
      </c>
      <c r="B138" t="s">
        <v>176</v>
      </c>
      <c r="C138" s="17">
        <v>153.85</v>
      </c>
      <c r="D138" s="28" t="s">
        <v>169</v>
      </c>
    </row>
    <row r="139" spans="1:4" x14ac:dyDescent="0.15">
      <c r="A139" s="10">
        <v>44818</v>
      </c>
      <c r="B139" t="s">
        <v>177</v>
      </c>
      <c r="C139" s="17">
        <v>55.88</v>
      </c>
      <c r="D139" s="23" t="s">
        <v>163</v>
      </c>
    </row>
    <row r="140" spans="1:4" x14ac:dyDescent="0.15">
      <c r="A140" s="10">
        <v>44818</v>
      </c>
      <c r="B140" t="s">
        <v>178</v>
      </c>
      <c r="C140" s="17">
        <v>105.41</v>
      </c>
      <c r="D140" s="23" t="s">
        <v>163</v>
      </c>
    </row>
    <row r="141" spans="1:4" x14ac:dyDescent="0.15">
      <c r="A141" s="10">
        <v>44818</v>
      </c>
      <c r="B141" t="s">
        <v>179</v>
      </c>
      <c r="C141" s="17">
        <v>119.39</v>
      </c>
      <c r="D141" s="23" t="s">
        <v>180</v>
      </c>
    </row>
    <row r="142" spans="1:4" x14ac:dyDescent="0.15">
      <c r="A142" s="10">
        <v>44819</v>
      </c>
      <c r="B142" t="s">
        <v>183</v>
      </c>
      <c r="C142" s="17">
        <v>345</v>
      </c>
      <c r="D142" s="23" t="s">
        <v>169</v>
      </c>
    </row>
    <row r="143" spans="1:4" x14ac:dyDescent="0.15">
      <c r="A143" s="10">
        <v>44819</v>
      </c>
      <c r="B143" t="s">
        <v>182</v>
      </c>
      <c r="C143" s="17">
        <v>340.49</v>
      </c>
      <c r="D143" s="23" t="s">
        <v>169</v>
      </c>
    </row>
    <row r="144" spans="1:4" x14ac:dyDescent="0.15">
      <c r="A144" s="10">
        <v>44819</v>
      </c>
      <c r="B144" t="s">
        <v>181</v>
      </c>
      <c r="C144" s="17">
        <v>4.51</v>
      </c>
      <c r="D144" s="23" t="s">
        <v>169</v>
      </c>
    </row>
    <row r="145" spans="1:6" x14ac:dyDescent="0.15">
      <c r="A145" s="10">
        <v>44832</v>
      </c>
      <c r="B145" s="18" t="s">
        <v>85</v>
      </c>
      <c r="C145" s="17">
        <v>15</v>
      </c>
      <c r="D145" s="23" t="s">
        <v>169</v>
      </c>
    </row>
    <row r="146" spans="1:6" x14ac:dyDescent="0.15">
      <c r="A146" s="10">
        <v>44833</v>
      </c>
      <c r="B146" t="s">
        <v>184</v>
      </c>
      <c r="C146" s="17">
        <v>250</v>
      </c>
      <c r="D146" s="23" t="s">
        <v>169</v>
      </c>
    </row>
    <row r="147" spans="1:6" x14ac:dyDescent="0.15">
      <c r="A147" s="10">
        <v>44868</v>
      </c>
      <c r="B147" t="s">
        <v>115</v>
      </c>
      <c r="C147" s="17">
        <v>70</v>
      </c>
      <c r="D147" s="23" t="s">
        <v>185</v>
      </c>
    </row>
    <row r="148" spans="1:6" x14ac:dyDescent="0.15">
      <c r="A148" s="10">
        <v>44900</v>
      </c>
      <c r="B148" t="s">
        <v>187</v>
      </c>
      <c r="C148" s="17">
        <v>42</v>
      </c>
      <c r="D148" s="23" t="s">
        <v>186</v>
      </c>
    </row>
    <row r="149" spans="1:6" x14ac:dyDescent="0.15">
      <c r="A149" s="10">
        <v>44900</v>
      </c>
      <c r="B149" t="s">
        <v>188</v>
      </c>
      <c r="C149" s="17">
        <v>38</v>
      </c>
      <c r="D149" s="23" t="s">
        <v>186</v>
      </c>
    </row>
    <row r="150" spans="1:6" x14ac:dyDescent="0.15">
      <c r="A150" s="10">
        <v>44902</v>
      </c>
      <c r="B150" t="s">
        <v>190</v>
      </c>
      <c r="C150" s="17">
        <v>256</v>
      </c>
      <c r="D150" s="23" t="s">
        <v>189</v>
      </c>
    </row>
    <row r="151" spans="1:6" x14ac:dyDescent="0.15">
      <c r="A151" s="10">
        <v>44902</v>
      </c>
      <c r="B151" t="s">
        <v>191</v>
      </c>
      <c r="C151" s="17">
        <v>297.8</v>
      </c>
      <c r="D151" s="23" t="s">
        <v>192</v>
      </c>
      <c r="F151" s="17"/>
    </row>
    <row r="152" spans="1:6" x14ac:dyDescent="0.15">
      <c r="A152" s="10">
        <v>44903</v>
      </c>
      <c r="B152" t="s">
        <v>193</v>
      </c>
      <c r="C152" s="17">
        <v>33</v>
      </c>
      <c r="D152" s="23" t="s">
        <v>196</v>
      </c>
    </row>
    <row r="153" spans="1:6" x14ac:dyDescent="0.15">
      <c r="A153" s="10">
        <v>44903</v>
      </c>
      <c r="B153" t="s">
        <v>194</v>
      </c>
      <c r="C153" s="17">
        <v>32.56</v>
      </c>
      <c r="D153" s="23" t="s">
        <v>196</v>
      </c>
    </row>
    <row r="154" spans="1:6" x14ac:dyDescent="0.15">
      <c r="A154" s="10">
        <v>44903</v>
      </c>
      <c r="B154" t="s">
        <v>195</v>
      </c>
      <c r="C154" s="17">
        <v>0.44</v>
      </c>
      <c r="D154" s="23" t="s">
        <v>196</v>
      </c>
    </row>
    <row r="155" spans="1:6" x14ac:dyDescent="0.15">
      <c r="A155" s="10">
        <v>44903</v>
      </c>
      <c r="B155" t="s">
        <v>198</v>
      </c>
      <c r="C155" s="17">
        <v>202</v>
      </c>
      <c r="D155" s="23"/>
    </row>
    <row r="156" spans="1:6" x14ac:dyDescent="0.15">
      <c r="A156" s="10">
        <v>44924</v>
      </c>
      <c r="B156" t="s">
        <v>197</v>
      </c>
      <c r="C156" s="17">
        <v>15</v>
      </c>
      <c r="D156" s="23" t="s">
        <v>196</v>
      </c>
    </row>
    <row r="157" spans="1:6" x14ac:dyDescent="0.15">
      <c r="A157" s="10">
        <v>44925</v>
      </c>
      <c r="B157" s="16" t="s">
        <v>199</v>
      </c>
      <c r="C157" s="17">
        <v>30</v>
      </c>
      <c r="D157" s="23"/>
    </row>
    <row r="158" spans="1:6" x14ac:dyDescent="0.15">
      <c r="A158" s="10">
        <v>44925</v>
      </c>
      <c r="B158" s="16" t="s">
        <v>200</v>
      </c>
      <c r="C158" s="17">
        <v>30</v>
      </c>
      <c r="D158" s="23"/>
    </row>
    <row r="159" spans="1:6" x14ac:dyDescent="0.15">
      <c r="A159" s="10">
        <v>44925</v>
      </c>
      <c r="B159" s="16" t="s">
        <v>201</v>
      </c>
      <c r="C159" s="17">
        <v>340.3</v>
      </c>
      <c r="D159" s="23"/>
    </row>
    <row r="160" spans="1:6" x14ac:dyDescent="0.15">
      <c r="A160" s="10">
        <v>44925</v>
      </c>
      <c r="B160" s="16" t="s">
        <v>202</v>
      </c>
      <c r="C160" s="17">
        <v>1410</v>
      </c>
      <c r="D160" s="23"/>
    </row>
    <row r="161" spans="1:4" x14ac:dyDescent="0.15">
      <c r="A161" s="10">
        <v>44925</v>
      </c>
      <c r="B161" s="16" t="s">
        <v>203</v>
      </c>
      <c r="C161" s="17">
        <v>1072.96</v>
      </c>
      <c r="D161" s="23"/>
    </row>
    <row r="162" spans="1:4" x14ac:dyDescent="0.15">
      <c r="A162" s="10">
        <v>44925</v>
      </c>
      <c r="B162" s="16" t="s">
        <v>204</v>
      </c>
      <c r="C162" s="17">
        <v>337.04</v>
      </c>
      <c r="D162" s="23"/>
    </row>
  </sheetData>
  <pageMargins left="0.70866141732283472" right="0.70866141732283472" top="0.74803149606299213" bottom="0.74803149606299213" header="0.31496062992125984" footer="0.31496062992125984"/>
  <pageSetup paperSize="9" scale="9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A1:D51"/>
  <sheetViews>
    <sheetView zoomScaleNormal="100" workbookViewId="0">
      <selection sqref="A1:D51"/>
    </sheetView>
  </sheetViews>
  <sheetFormatPr defaultColWidth="11.4609375" defaultRowHeight="12.75" x14ac:dyDescent="0.15"/>
  <cols>
    <col min="1" max="1" width="8.22265625" bestFit="1" customWidth="1"/>
    <col min="2" max="2" width="49.89453125" bestFit="1" customWidth="1"/>
    <col min="3" max="3" width="13.75390625" bestFit="1" customWidth="1"/>
    <col min="4" max="4" width="14.6953125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B2" s="9" t="s">
        <v>11</v>
      </c>
      <c r="C2" s="4" t="s">
        <v>8</v>
      </c>
      <c r="D2" s="3">
        <f>Cotisations[[#Totals],[Avoir]]-Cotisations[[#Totals],[Doit]]</f>
        <v>0</v>
      </c>
    </row>
    <row r="3" spans="1:4" ht="18" customHeight="1" x14ac:dyDescent="0.15">
      <c r="A3" s="5"/>
      <c r="C3" s="3">
        <f>Cotisations[[#Totals],[Doit]]</f>
        <v>1410</v>
      </c>
      <c r="D3" s="3">
        <f>Cotisations[[#Totals],[Avoir]]</f>
        <v>1410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0">
        <v>44231</v>
      </c>
      <c r="B6" s="18" t="s">
        <v>38</v>
      </c>
      <c r="C6" s="17"/>
      <c r="D6" s="17">
        <v>30</v>
      </c>
    </row>
    <row r="7" spans="1:4" x14ac:dyDescent="0.15">
      <c r="A7" s="10">
        <v>44231</v>
      </c>
      <c r="B7" s="18" t="s">
        <v>39</v>
      </c>
      <c r="C7" s="17"/>
      <c r="D7" s="17">
        <v>30</v>
      </c>
    </row>
    <row r="8" spans="1:4" x14ac:dyDescent="0.15">
      <c r="A8" s="10">
        <v>44233</v>
      </c>
      <c r="B8" s="18" t="s">
        <v>40</v>
      </c>
      <c r="C8" s="17"/>
      <c r="D8" s="17">
        <v>30</v>
      </c>
    </row>
    <row r="9" spans="1:4" x14ac:dyDescent="0.15">
      <c r="A9" s="10">
        <v>44239</v>
      </c>
      <c r="B9" s="18" t="s">
        <v>34</v>
      </c>
      <c r="C9" s="15"/>
      <c r="D9" s="15">
        <v>30</v>
      </c>
    </row>
    <row r="10" spans="1:4" x14ac:dyDescent="0.15">
      <c r="A10" s="10">
        <v>44250</v>
      </c>
      <c r="B10" s="18" t="s">
        <v>36</v>
      </c>
      <c r="C10" s="17"/>
      <c r="D10" s="17">
        <v>30</v>
      </c>
    </row>
    <row r="11" spans="1:4" x14ac:dyDescent="0.15">
      <c r="A11" s="10">
        <v>44251</v>
      </c>
      <c r="B11" s="18" t="s">
        <v>37</v>
      </c>
      <c r="C11" s="17"/>
      <c r="D11" s="17">
        <v>30</v>
      </c>
    </row>
    <row r="12" spans="1:4" x14ac:dyDescent="0.15">
      <c r="A12" s="10">
        <v>44252</v>
      </c>
      <c r="B12" s="18" t="s">
        <v>41</v>
      </c>
      <c r="C12" s="15"/>
      <c r="D12" s="17">
        <v>30</v>
      </c>
    </row>
    <row r="13" spans="1:4" x14ac:dyDescent="0.15">
      <c r="A13" s="10">
        <v>44252</v>
      </c>
      <c r="B13" s="18" t="s">
        <v>42</v>
      </c>
      <c r="C13" s="15"/>
      <c r="D13" s="17">
        <v>30</v>
      </c>
    </row>
    <row r="14" spans="1:4" x14ac:dyDescent="0.15">
      <c r="A14" s="10">
        <v>44252</v>
      </c>
      <c r="B14" s="18" t="s">
        <v>43</v>
      </c>
      <c r="C14" s="15"/>
      <c r="D14" s="17">
        <v>30</v>
      </c>
    </row>
    <row r="15" spans="1:4" x14ac:dyDescent="0.15">
      <c r="A15" s="10">
        <v>44252</v>
      </c>
      <c r="B15" s="18" t="s">
        <v>45</v>
      </c>
      <c r="C15" s="17"/>
      <c r="D15" s="17">
        <v>30</v>
      </c>
    </row>
    <row r="16" spans="1:4" x14ac:dyDescent="0.15">
      <c r="A16" s="10">
        <v>44252</v>
      </c>
      <c r="B16" s="18" t="s">
        <v>46</v>
      </c>
      <c r="C16" s="17"/>
      <c r="D16" s="17">
        <v>30</v>
      </c>
    </row>
    <row r="17" spans="1:4" x14ac:dyDescent="0.15">
      <c r="A17" s="10">
        <v>44253</v>
      </c>
      <c r="B17" s="18" t="s">
        <v>44</v>
      </c>
      <c r="C17" s="15"/>
      <c r="D17" s="17">
        <v>30</v>
      </c>
    </row>
    <row r="18" spans="1:4" x14ac:dyDescent="0.15">
      <c r="A18" s="10">
        <v>44254</v>
      </c>
      <c r="B18" s="18" t="s">
        <v>47</v>
      </c>
      <c r="C18" s="15"/>
      <c r="D18" s="17">
        <v>30</v>
      </c>
    </row>
    <row r="19" spans="1:4" x14ac:dyDescent="0.15">
      <c r="A19" s="10">
        <v>44254</v>
      </c>
      <c r="B19" s="18" t="s">
        <v>48</v>
      </c>
      <c r="C19" s="15"/>
      <c r="D19" s="17">
        <v>30</v>
      </c>
    </row>
    <row r="20" spans="1:4" x14ac:dyDescent="0.15">
      <c r="A20" s="10">
        <v>44254</v>
      </c>
      <c r="B20" s="18" t="s">
        <v>49</v>
      </c>
      <c r="C20" s="15"/>
      <c r="D20" s="17">
        <v>30</v>
      </c>
    </row>
    <row r="21" spans="1:4" x14ac:dyDescent="0.15">
      <c r="A21" s="10">
        <v>44254</v>
      </c>
      <c r="B21" s="18" t="s">
        <v>50</v>
      </c>
      <c r="C21" s="15"/>
      <c r="D21" s="17">
        <v>30</v>
      </c>
    </row>
    <row r="22" spans="1:4" x14ac:dyDescent="0.15">
      <c r="A22" s="10">
        <v>44254</v>
      </c>
      <c r="B22" s="18" t="s">
        <v>51</v>
      </c>
      <c r="C22" s="15"/>
      <c r="D22" s="17">
        <v>30</v>
      </c>
    </row>
    <row r="23" spans="1:4" x14ac:dyDescent="0.15">
      <c r="A23" s="10">
        <v>44254</v>
      </c>
      <c r="B23" s="18" t="s">
        <v>52</v>
      </c>
      <c r="C23" s="15"/>
      <c r="D23" s="17">
        <v>30</v>
      </c>
    </row>
    <row r="24" spans="1:4" x14ac:dyDescent="0.15">
      <c r="A24" s="10">
        <v>44257</v>
      </c>
      <c r="B24" s="18" t="s">
        <v>53</v>
      </c>
      <c r="C24" s="17"/>
      <c r="D24" s="17">
        <v>90</v>
      </c>
    </row>
    <row r="25" spans="1:4" x14ac:dyDescent="0.15">
      <c r="A25" s="10">
        <v>44257</v>
      </c>
      <c r="B25" s="18" t="s">
        <v>55</v>
      </c>
      <c r="C25" s="17"/>
      <c r="D25" s="17">
        <v>30</v>
      </c>
    </row>
    <row r="26" spans="1:4" x14ac:dyDescent="0.15">
      <c r="A26" s="10">
        <v>44257</v>
      </c>
      <c r="B26" s="18" t="s">
        <v>56</v>
      </c>
      <c r="C26" s="17"/>
      <c r="D26" s="17">
        <v>30</v>
      </c>
    </row>
    <row r="27" spans="1:4" x14ac:dyDescent="0.15">
      <c r="A27" s="10">
        <v>44257</v>
      </c>
      <c r="B27" s="18" t="s">
        <v>57</v>
      </c>
      <c r="C27" s="17"/>
      <c r="D27" s="17">
        <v>30</v>
      </c>
    </row>
    <row r="28" spans="1:4" x14ac:dyDescent="0.15">
      <c r="A28" s="10">
        <v>44257</v>
      </c>
      <c r="B28" s="18" t="s">
        <v>58</v>
      </c>
      <c r="C28" s="17"/>
      <c r="D28" s="17">
        <v>30</v>
      </c>
    </row>
    <row r="29" spans="1:4" x14ac:dyDescent="0.15">
      <c r="A29" s="10">
        <v>44257</v>
      </c>
      <c r="B29" s="18" t="s">
        <v>59</v>
      </c>
      <c r="C29" s="17"/>
      <c r="D29" s="17">
        <v>30</v>
      </c>
    </row>
    <row r="30" spans="1:4" x14ac:dyDescent="0.15">
      <c r="A30" s="10">
        <v>44257</v>
      </c>
      <c r="B30" s="18" t="s">
        <v>60</v>
      </c>
      <c r="C30" s="17"/>
      <c r="D30" s="17">
        <v>30</v>
      </c>
    </row>
    <row r="31" spans="1:4" x14ac:dyDescent="0.15">
      <c r="A31" s="10">
        <v>44262</v>
      </c>
      <c r="B31" s="16" t="s">
        <v>67</v>
      </c>
      <c r="C31" s="17"/>
      <c r="D31" s="17">
        <v>60</v>
      </c>
    </row>
    <row r="32" spans="1:4" x14ac:dyDescent="0.15">
      <c r="A32" s="10">
        <v>44262</v>
      </c>
      <c r="B32" s="18" t="s">
        <v>68</v>
      </c>
      <c r="C32" s="17"/>
      <c r="D32" s="17">
        <v>30</v>
      </c>
    </row>
    <row r="33" spans="1:4" x14ac:dyDescent="0.15">
      <c r="A33" s="10">
        <v>44262</v>
      </c>
      <c r="B33" s="18" t="s">
        <v>70</v>
      </c>
      <c r="C33" s="17"/>
      <c r="D33" s="17">
        <v>30</v>
      </c>
    </row>
    <row r="34" spans="1:4" x14ac:dyDescent="0.15">
      <c r="A34" s="10">
        <v>44262</v>
      </c>
      <c r="B34" s="18" t="s">
        <v>71</v>
      </c>
      <c r="C34" s="17"/>
      <c r="D34" s="17">
        <v>30</v>
      </c>
    </row>
    <row r="35" spans="1:4" x14ac:dyDescent="0.15">
      <c r="A35" s="10">
        <v>44262</v>
      </c>
      <c r="B35" s="18" t="s">
        <v>72</v>
      </c>
      <c r="C35" s="17"/>
      <c r="D35" s="17">
        <v>30</v>
      </c>
    </row>
    <row r="36" spans="1:4" x14ac:dyDescent="0.15">
      <c r="A36" s="10">
        <v>44262</v>
      </c>
      <c r="B36" s="18" t="s">
        <v>73</v>
      </c>
      <c r="C36" s="17"/>
      <c r="D36" s="17">
        <v>30</v>
      </c>
    </row>
    <row r="37" spans="1:4" x14ac:dyDescent="0.15">
      <c r="A37" s="10">
        <v>44262</v>
      </c>
      <c r="B37" s="18" t="s">
        <v>74</v>
      </c>
      <c r="C37" s="17"/>
      <c r="D37" s="17">
        <v>30</v>
      </c>
    </row>
    <row r="38" spans="1:4" x14ac:dyDescent="0.15">
      <c r="A38" s="10">
        <v>44262</v>
      </c>
      <c r="B38" s="18" t="s">
        <v>75</v>
      </c>
      <c r="C38" s="17"/>
      <c r="D38" s="17">
        <v>30</v>
      </c>
    </row>
    <row r="39" spans="1:4" x14ac:dyDescent="0.15">
      <c r="A39" s="10">
        <v>44262</v>
      </c>
      <c r="B39" s="18" t="s">
        <v>76</v>
      </c>
      <c r="C39" s="17"/>
      <c r="D39" s="17">
        <v>30</v>
      </c>
    </row>
    <row r="40" spans="1:4" x14ac:dyDescent="0.15">
      <c r="A40" s="10">
        <v>44262</v>
      </c>
      <c r="B40" s="18" t="s">
        <v>77</v>
      </c>
      <c r="C40" s="17"/>
      <c r="D40" s="17">
        <v>30</v>
      </c>
    </row>
    <row r="41" spans="1:4" x14ac:dyDescent="0.15">
      <c r="A41" s="10">
        <v>44262</v>
      </c>
      <c r="B41" s="18" t="s">
        <v>78</v>
      </c>
      <c r="C41" s="17"/>
      <c r="D41" s="17">
        <v>30</v>
      </c>
    </row>
    <row r="42" spans="1:4" x14ac:dyDescent="0.15">
      <c r="A42" s="10">
        <v>44262</v>
      </c>
      <c r="B42" s="18" t="s">
        <v>79</v>
      </c>
      <c r="C42" s="17"/>
      <c r="D42" s="17">
        <v>30</v>
      </c>
    </row>
    <row r="43" spans="1:4" x14ac:dyDescent="0.15">
      <c r="A43" s="10">
        <v>44272</v>
      </c>
      <c r="B43" s="18" t="s">
        <v>83</v>
      </c>
      <c r="C43" s="17"/>
      <c r="D43" s="17">
        <v>30</v>
      </c>
    </row>
    <row r="44" spans="1:4" x14ac:dyDescent="0.15">
      <c r="A44" s="10">
        <v>44273</v>
      </c>
      <c r="B44" s="18" t="s">
        <v>84</v>
      </c>
      <c r="C44" s="17"/>
      <c r="D44" s="17">
        <v>30</v>
      </c>
    </row>
    <row r="45" spans="1:4" x14ac:dyDescent="0.15">
      <c r="A45" s="10">
        <v>44299</v>
      </c>
      <c r="B45" s="18" t="s">
        <v>94</v>
      </c>
      <c r="C45" s="17"/>
      <c r="D45" s="17">
        <v>30</v>
      </c>
    </row>
    <row r="46" spans="1:4" x14ac:dyDescent="0.15">
      <c r="A46" s="10">
        <v>44377</v>
      </c>
      <c r="B46" s="18" t="s">
        <v>128</v>
      </c>
      <c r="C46" s="17"/>
      <c r="D46" s="17">
        <v>30</v>
      </c>
    </row>
    <row r="47" spans="1:4" x14ac:dyDescent="0.15">
      <c r="A47" s="10">
        <v>44404</v>
      </c>
      <c r="B47" t="s">
        <v>133</v>
      </c>
      <c r="C47" s="17"/>
      <c r="D47" s="17">
        <v>30</v>
      </c>
    </row>
    <row r="48" spans="1:4" x14ac:dyDescent="0.15">
      <c r="A48" s="10">
        <v>44925</v>
      </c>
      <c r="B48" s="16" t="s">
        <v>199</v>
      </c>
      <c r="C48" s="17"/>
      <c r="D48" s="17">
        <v>30</v>
      </c>
    </row>
    <row r="49" spans="1:4" x14ac:dyDescent="0.15">
      <c r="A49" s="10">
        <v>44925</v>
      </c>
      <c r="B49" s="16" t="s">
        <v>200</v>
      </c>
      <c r="C49" s="17"/>
      <c r="D49" s="17">
        <v>30</v>
      </c>
    </row>
    <row r="50" spans="1:4" x14ac:dyDescent="0.15">
      <c r="A50" s="10">
        <v>44925</v>
      </c>
      <c r="B50" s="16" t="s">
        <v>202</v>
      </c>
      <c r="C50" s="17">
        <v>1410</v>
      </c>
      <c r="D50" s="17"/>
    </row>
    <row r="51" spans="1:4" x14ac:dyDescent="0.15">
      <c r="A51" s="1" t="s">
        <v>8</v>
      </c>
      <c r="B51" s="20"/>
      <c r="C51" s="17">
        <f>SUBTOTAL(109,Cotisations[Doit])</f>
        <v>1410</v>
      </c>
      <c r="D51" s="17">
        <f>SUBTOTAL(109,Cotisations[Avoir])</f>
        <v>1410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pageSetUpPr fitToPage="1"/>
  </sheetPr>
  <dimension ref="A1:H44"/>
  <sheetViews>
    <sheetView zoomScaleNormal="100" workbookViewId="0">
      <selection sqref="A1:E44"/>
    </sheetView>
  </sheetViews>
  <sheetFormatPr defaultColWidth="11.4609375" defaultRowHeight="12.75" x14ac:dyDescent="0.15"/>
  <cols>
    <col min="1" max="1" width="8.22265625" bestFit="1" customWidth="1"/>
    <col min="2" max="2" width="51.6484375" bestFit="1" customWidth="1"/>
    <col min="3" max="3" width="14.6953125" bestFit="1" customWidth="1"/>
    <col min="4" max="4" width="15.1015625" customWidth="1"/>
    <col min="5" max="5" width="14.96875" bestFit="1" customWidth="1"/>
    <col min="7" max="7" width="12.13671875" bestFit="1" customWidth="1"/>
  </cols>
  <sheetData>
    <row r="1" spans="1:5" ht="12" customHeight="1" x14ac:dyDescent="0.15">
      <c r="A1" s="8"/>
      <c r="B1" s="8"/>
      <c r="C1" s="8"/>
      <c r="D1" s="8"/>
    </row>
    <row r="2" spans="1:5" ht="18" customHeight="1" x14ac:dyDescent="0.2">
      <c r="B2" s="9" t="s">
        <v>10</v>
      </c>
      <c r="C2" s="4" t="s">
        <v>8</v>
      </c>
      <c r="D2" s="3">
        <f>Caisse[[#Totals],[Avoir]]-Caisse[[#Totals],[Doit]]</f>
        <v>1521.2999999999993</v>
      </c>
    </row>
    <row r="3" spans="1:5" ht="18" customHeight="1" x14ac:dyDescent="0.15">
      <c r="A3" s="5"/>
      <c r="C3" s="3">
        <f>Caisse[[#Totals],[Doit]]</f>
        <v>10425.75</v>
      </c>
      <c r="D3" s="3">
        <f>Caisse[[#Totals],[Avoir]]</f>
        <v>11947.05</v>
      </c>
    </row>
    <row r="4" spans="1:5" ht="12" customHeight="1" x14ac:dyDescent="0.15">
      <c r="A4" s="5"/>
      <c r="C4" s="2"/>
      <c r="D4" s="2"/>
    </row>
    <row r="5" spans="1:5" x14ac:dyDescent="0.15">
      <c r="A5" s="12" t="s">
        <v>4</v>
      </c>
      <c r="B5" s="5" t="s">
        <v>5</v>
      </c>
      <c r="C5" s="13" t="s">
        <v>6</v>
      </c>
      <c r="D5" s="13" t="s">
        <v>7</v>
      </c>
      <c r="E5" t="s">
        <v>16</v>
      </c>
    </row>
    <row r="6" spans="1:5" x14ac:dyDescent="0.15">
      <c r="A6" s="11">
        <v>44196</v>
      </c>
      <c r="B6" s="16" t="s">
        <v>22</v>
      </c>
      <c r="C6" s="15"/>
      <c r="D6" s="15">
        <v>5908</v>
      </c>
      <c r="E6" s="17">
        <f ca="1">SUM(INDEX(Caisse[Avoir],1):Caisse[[#This Row],[Avoir]])-SUM(INDEX(Caisse[Doit],1):Caisse[[#This Row],[Doit]])</f>
        <v>5908</v>
      </c>
    </row>
    <row r="7" spans="1:5" x14ac:dyDescent="0.15">
      <c r="A7" s="10">
        <v>44225</v>
      </c>
      <c r="B7" s="16" t="s">
        <v>29</v>
      </c>
      <c r="C7" s="17">
        <v>4990</v>
      </c>
      <c r="D7" s="15"/>
      <c r="E7" s="17">
        <f ca="1">SUM(INDEX(Caisse[Avoir],1):Caisse[[#This Row],[Avoir]])-SUM(INDEX(Caisse[Doit],1):Caisse[[#This Row],[Doit]])</f>
        <v>918</v>
      </c>
    </row>
    <row r="8" spans="1:5" x14ac:dyDescent="0.15">
      <c r="A8" s="10">
        <v>44225</v>
      </c>
      <c r="B8" s="16" t="s">
        <v>31</v>
      </c>
      <c r="C8" s="17">
        <v>92</v>
      </c>
      <c r="D8" s="17"/>
      <c r="E8" s="17">
        <f ca="1">SUM(INDEX(Caisse[Avoir],1):Caisse[[#This Row],[Avoir]])-SUM(INDEX(Caisse[Doit],1):Caisse[[#This Row],[Doit]])</f>
        <v>826</v>
      </c>
    </row>
    <row r="9" spans="1:5" x14ac:dyDescent="0.15">
      <c r="A9" s="10">
        <v>44252</v>
      </c>
      <c r="B9" s="18" t="s">
        <v>45</v>
      </c>
      <c r="C9" s="17"/>
      <c r="D9" s="17">
        <v>30</v>
      </c>
      <c r="E9" s="17">
        <f ca="1">SUM(INDEX(Caisse[Avoir],1):Caisse[[#This Row],[Avoir]])-SUM(INDEX(Caisse[Doit],1):Caisse[[#This Row],[Doit]])</f>
        <v>856</v>
      </c>
    </row>
    <row r="10" spans="1:5" x14ac:dyDescent="0.15">
      <c r="A10" s="10">
        <v>44252</v>
      </c>
      <c r="B10" s="18" t="s">
        <v>46</v>
      </c>
      <c r="C10" s="17"/>
      <c r="D10" s="17">
        <v>30</v>
      </c>
      <c r="E10" s="17">
        <f ca="1">SUM(INDEX(Caisse[Avoir],1):Caisse[[#This Row],[Avoir]])-SUM(INDEX(Caisse[Doit],1):Caisse[[#This Row],[Doit]])</f>
        <v>886</v>
      </c>
    </row>
    <row r="11" spans="1:5" x14ac:dyDescent="0.15">
      <c r="A11" s="10">
        <v>44262</v>
      </c>
      <c r="B11" s="16" t="s">
        <v>61</v>
      </c>
      <c r="C11" s="17">
        <v>42</v>
      </c>
      <c r="D11" s="17"/>
      <c r="E11" s="17">
        <f ca="1">SUM(INDEX(Caisse[Avoir],1):Caisse[[#This Row],[Avoir]])-SUM(INDEX(Caisse[Doit],1):Caisse[[#This Row],[Doit]])</f>
        <v>844</v>
      </c>
    </row>
    <row r="12" spans="1:5" x14ac:dyDescent="0.15">
      <c r="A12" s="10">
        <v>44262</v>
      </c>
      <c r="B12" s="18" t="s">
        <v>64</v>
      </c>
      <c r="C12" s="17">
        <v>140</v>
      </c>
      <c r="D12" s="17"/>
      <c r="E12" s="17">
        <f ca="1">SUM(INDEX(Caisse[Avoir],1):Caisse[[#This Row],[Avoir]])-SUM(INDEX(Caisse[Doit],1):Caisse[[#This Row],[Doit]])</f>
        <v>704</v>
      </c>
    </row>
    <row r="13" spans="1:5" x14ac:dyDescent="0.15">
      <c r="A13" s="10">
        <v>44262</v>
      </c>
      <c r="B13" s="18" t="s">
        <v>71</v>
      </c>
      <c r="C13" s="17"/>
      <c r="D13" s="17">
        <v>30</v>
      </c>
      <c r="E13" s="17">
        <f ca="1">SUM(INDEX(Caisse[Avoir],1):Caisse[[#This Row],[Avoir]])-SUM(INDEX(Caisse[Doit],1):Caisse[[#This Row],[Doit]])</f>
        <v>734</v>
      </c>
    </row>
    <row r="14" spans="1:5" x14ac:dyDescent="0.15">
      <c r="A14" s="10">
        <v>44262</v>
      </c>
      <c r="B14" s="18" t="s">
        <v>72</v>
      </c>
      <c r="C14" s="17"/>
      <c r="D14" s="17">
        <v>30</v>
      </c>
      <c r="E14" s="17">
        <f ca="1">SUM(INDEX(Caisse[Avoir],1):Caisse[[#This Row],[Avoir]])-SUM(INDEX(Caisse[Doit],1):Caisse[[#This Row],[Doit]])</f>
        <v>764</v>
      </c>
    </row>
    <row r="15" spans="1:5" x14ac:dyDescent="0.15">
      <c r="A15" s="10">
        <v>44262</v>
      </c>
      <c r="B15" s="18" t="s">
        <v>73</v>
      </c>
      <c r="C15" s="17"/>
      <c r="D15" s="17">
        <v>30</v>
      </c>
      <c r="E15" s="17">
        <f ca="1">SUM(INDEX(Caisse[Avoir],1):Caisse[[#This Row],[Avoir]])-SUM(INDEX(Caisse[Doit],1):Caisse[[#This Row],[Doit]])</f>
        <v>794</v>
      </c>
    </row>
    <row r="16" spans="1:5" x14ac:dyDescent="0.15">
      <c r="A16" s="10">
        <v>44262</v>
      </c>
      <c r="B16" s="18" t="s">
        <v>74</v>
      </c>
      <c r="C16" s="17"/>
      <c r="D16" s="17">
        <v>30</v>
      </c>
      <c r="E16" s="17">
        <f ca="1">SUM(INDEX(Caisse[Avoir],1):Caisse[[#This Row],[Avoir]])-SUM(INDEX(Caisse[Doit],1):Caisse[[#This Row],[Doit]])</f>
        <v>824</v>
      </c>
    </row>
    <row r="17" spans="1:5" x14ac:dyDescent="0.15">
      <c r="A17" s="10">
        <v>44262</v>
      </c>
      <c r="B17" s="18" t="s">
        <v>75</v>
      </c>
      <c r="C17" s="17"/>
      <c r="D17" s="17">
        <v>30</v>
      </c>
      <c r="E17" s="17">
        <f ca="1">SUM(INDEX(Caisse[Avoir],1):Caisse[[#This Row],[Avoir]])-SUM(INDEX(Caisse[Doit],1):Caisse[[#This Row],[Doit]])</f>
        <v>854</v>
      </c>
    </row>
    <row r="18" spans="1:5" x14ac:dyDescent="0.15">
      <c r="A18" s="10">
        <v>44262</v>
      </c>
      <c r="B18" s="18" t="s">
        <v>76</v>
      </c>
      <c r="C18" s="17"/>
      <c r="D18" s="17">
        <v>30</v>
      </c>
      <c r="E18" s="17">
        <f ca="1">SUM(INDEX(Caisse[Avoir],1):Caisse[[#This Row],[Avoir]])-SUM(INDEX(Caisse[Doit],1):Caisse[[#This Row],[Doit]])</f>
        <v>884</v>
      </c>
    </row>
    <row r="19" spans="1:5" x14ac:dyDescent="0.15">
      <c r="A19" s="10">
        <v>44262</v>
      </c>
      <c r="B19" s="18" t="s">
        <v>77</v>
      </c>
      <c r="C19" s="17"/>
      <c r="D19" s="17">
        <v>30</v>
      </c>
      <c r="E19" s="17">
        <f ca="1">SUM(INDEX(Caisse[Avoir],1):Caisse[[#This Row],[Avoir]])-SUM(INDEX(Caisse[Doit],1):Caisse[[#This Row],[Doit]])</f>
        <v>914</v>
      </c>
    </row>
    <row r="20" spans="1:5" x14ac:dyDescent="0.15">
      <c r="A20" s="10">
        <v>44262</v>
      </c>
      <c r="B20" s="18" t="s">
        <v>78</v>
      </c>
      <c r="C20" s="17"/>
      <c r="D20" s="17">
        <v>30</v>
      </c>
      <c r="E20" s="17">
        <f ca="1">SUM(INDEX(Caisse[Avoir],1):Caisse[[#This Row],[Avoir]])-SUM(INDEX(Caisse[Doit],1):Caisse[[#This Row],[Doit]])</f>
        <v>944</v>
      </c>
    </row>
    <row r="21" spans="1:5" x14ac:dyDescent="0.15">
      <c r="A21" s="10">
        <v>44262</v>
      </c>
      <c r="B21" s="18" t="s">
        <v>79</v>
      </c>
      <c r="C21" s="17"/>
      <c r="D21" s="17">
        <v>30</v>
      </c>
      <c r="E21" s="17">
        <f ca="1">SUM(INDEX(Caisse[Avoir],1):Caisse[[#This Row],[Avoir]])-SUM(INDEX(Caisse[Doit],1):Caisse[[#This Row],[Doit]])</f>
        <v>974</v>
      </c>
    </row>
    <row r="22" spans="1:5" x14ac:dyDescent="0.15">
      <c r="A22" s="10">
        <v>44262</v>
      </c>
      <c r="B22" s="18" t="s">
        <v>80</v>
      </c>
      <c r="C22" s="17"/>
      <c r="D22" s="17">
        <v>160</v>
      </c>
      <c r="E22" s="17">
        <f ca="1">SUM(INDEX(Caisse[Avoir],1):Caisse[[#This Row],[Avoir]])-SUM(INDEX(Caisse[Doit],1):Caisse[[#This Row],[Doit]])</f>
        <v>1134</v>
      </c>
    </row>
    <row r="23" spans="1:5" x14ac:dyDescent="0.15">
      <c r="A23" s="10">
        <v>44320</v>
      </c>
      <c r="B23" s="18" t="s">
        <v>108</v>
      </c>
      <c r="C23" s="17"/>
      <c r="D23" s="17">
        <v>1000</v>
      </c>
      <c r="E23" s="17">
        <f ca="1">SUM(INDEX(Caisse[Avoir],1):Caisse[[#This Row],[Avoir]])-SUM(INDEX(Caisse[Doit],1):Caisse[[#This Row],[Doit]])</f>
        <v>2134</v>
      </c>
    </row>
    <row r="24" spans="1:5" x14ac:dyDescent="0.15">
      <c r="A24" s="10">
        <v>44323</v>
      </c>
      <c r="B24" s="18" t="s">
        <v>108</v>
      </c>
      <c r="C24" s="17"/>
      <c r="D24" s="17">
        <v>1000</v>
      </c>
      <c r="E24" s="17">
        <f ca="1">SUM(INDEX(Caisse[Avoir],1):Caisse[[#This Row],[Avoir]])-SUM(INDEX(Caisse[Doit],1):Caisse[[#This Row],[Doit]])</f>
        <v>3134</v>
      </c>
    </row>
    <row r="25" spans="1:5" x14ac:dyDescent="0.15">
      <c r="A25" s="10">
        <v>44323</v>
      </c>
      <c r="B25" s="18" t="s">
        <v>108</v>
      </c>
      <c r="C25" s="17"/>
      <c r="D25" s="17">
        <v>200</v>
      </c>
      <c r="E25" s="17">
        <f ca="1">SUM(INDEX(Caisse[Avoir],1):Caisse[[#This Row],[Avoir]])-SUM(INDEX(Caisse[Doit],1):Caisse[[#This Row],[Doit]])</f>
        <v>3334</v>
      </c>
    </row>
    <row r="26" spans="1:5" x14ac:dyDescent="0.15">
      <c r="A26" s="10">
        <v>44325</v>
      </c>
      <c r="B26" s="18" t="s">
        <v>100</v>
      </c>
      <c r="C26" s="17">
        <v>26</v>
      </c>
      <c r="D26" s="17"/>
      <c r="E26" s="17">
        <f ca="1">SUM(INDEX(Caisse[Avoir],1):Caisse[[#This Row],[Avoir]])-SUM(INDEX(Caisse[Doit],1):Caisse[[#This Row],[Doit]])</f>
        <v>3308</v>
      </c>
    </row>
    <row r="27" spans="1:5" x14ac:dyDescent="0.15">
      <c r="A27" s="10">
        <v>44325</v>
      </c>
      <c r="B27" s="18" t="s">
        <v>101</v>
      </c>
      <c r="C27" s="17">
        <v>15</v>
      </c>
      <c r="D27" s="17"/>
      <c r="E27" s="17">
        <f ca="1">SUM(INDEX(Caisse[Avoir],1):Caisse[[#This Row],[Avoir]])-SUM(INDEX(Caisse[Doit],1):Caisse[[#This Row],[Doit]])</f>
        <v>3293</v>
      </c>
    </row>
    <row r="28" spans="1:5" x14ac:dyDescent="0.15">
      <c r="A28" s="10">
        <v>44325</v>
      </c>
      <c r="B28" s="18" t="s">
        <v>102</v>
      </c>
      <c r="C28" s="17">
        <v>64</v>
      </c>
      <c r="D28" s="17"/>
      <c r="E28" s="17">
        <f ca="1">SUM(INDEX(Caisse[Avoir],1):Caisse[[#This Row],[Avoir]])-SUM(INDEX(Caisse[Doit],1):Caisse[[#This Row],[Doit]])</f>
        <v>3229</v>
      </c>
    </row>
    <row r="29" spans="1:5" x14ac:dyDescent="0.15">
      <c r="A29" s="10">
        <v>44325</v>
      </c>
      <c r="B29" s="18" t="s">
        <v>103</v>
      </c>
      <c r="C29" s="17">
        <v>30</v>
      </c>
      <c r="D29" s="15"/>
      <c r="E29" s="17">
        <f ca="1">SUM(INDEX(Caisse[Avoir],1):Caisse[[#This Row],[Avoir]])-SUM(INDEX(Caisse[Doit],1):Caisse[[#This Row],[Doit]])</f>
        <v>3199</v>
      </c>
    </row>
    <row r="30" spans="1:5" x14ac:dyDescent="0.15">
      <c r="A30" s="10">
        <v>44325</v>
      </c>
      <c r="B30" s="18" t="s">
        <v>104</v>
      </c>
      <c r="C30" s="17">
        <v>51</v>
      </c>
      <c r="D30" s="17"/>
      <c r="E30" s="17">
        <f ca="1">SUM(INDEX(Caisse[Avoir],1):Caisse[[#This Row],[Avoir]])-SUM(INDEX(Caisse[Doit],1):Caisse[[#This Row],[Doit]])</f>
        <v>3148</v>
      </c>
    </row>
    <row r="31" spans="1:5" x14ac:dyDescent="0.15">
      <c r="A31" s="10">
        <v>44325</v>
      </c>
      <c r="B31" s="18" t="s">
        <v>105</v>
      </c>
      <c r="C31" s="17">
        <v>12.5</v>
      </c>
      <c r="D31" s="17"/>
      <c r="E31" s="17">
        <f ca="1">SUM(INDEX(Caisse[Avoir],1):Caisse[[#This Row],[Avoir]])-SUM(INDEX(Caisse[Doit],1):Caisse[[#This Row],[Doit]])</f>
        <v>3135.5</v>
      </c>
    </row>
    <row r="32" spans="1:5" x14ac:dyDescent="0.15">
      <c r="A32" s="10">
        <v>44325</v>
      </c>
      <c r="B32" s="18" t="s">
        <v>106</v>
      </c>
      <c r="C32" s="17">
        <v>120</v>
      </c>
      <c r="D32" s="17"/>
      <c r="E32" s="17">
        <f ca="1">SUM(INDEX(Caisse[Avoir],1):Caisse[[#This Row],[Avoir]])-SUM(INDEX(Caisse[Doit],1):Caisse[[#This Row],[Doit]])</f>
        <v>3015.5</v>
      </c>
    </row>
    <row r="33" spans="1:8" x14ac:dyDescent="0.15">
      <c r="A33" s="10">
        <v>44325</v>
      </c>
      <c r="B33" s="18" t="s">
        <v>107</v>
      </c>
      <c r="C33" s="17">
        <v>265.25</v>
      </c>
      <c r="D33" s="17"/>
      <c r="E33" s="17">
        <f ca="1">SUM(INDEX(Caisse[Avoir],1):Caisse[[#This Row],[Avoir]])-SUM(INDEX(Caisse[Doit],1):Caisse[[#This Row],[Doit]])</f>
        <v>2750.25</v>
      </c>
    </row>
    <row r="34" spans="1:8" x14ac:dyDescent="0.15">
      <c r="A34" s="10">
        <v>44330</v>
      </c>
      <c r="B34" s="18" t="s">
        <v>112</v>
      </c>
      <c r="C34" s="17"/>
      <c r="D34" s="17">
        <v>2460.75</v>
      </c>
      <c r="E34" s="17">
        <f ca="1">SUM(INDEX(Caisse[Avoir],1):Caisse[[#This Row],[Avoir]])-SUM(INDEX(Caisse[Doit],1):Caisse[[#This Row],[Doit]])</f>
        <v>5211</v>
      </c>
    </row>
    <row r="35" spans="1:8" x14ac:dyDescent="0.15">
      <c r="A35" s="10">
        <v>44357</v>
      </c>
      <c r="B35" s="18" t="s">
        <v>119</v>
      </c>
      <c r="C35" s="17">
        <v>1360</v>
      </c>
      <c r="D35" s="17"/>
      <c r="E35" s="17">
        <f ca="1">SUM(INDEX(Caisse[Avoir],1):Caisse[[#This Row],[Avoir]])-SUM(INDEX(Caisse[Doit],1):Caisse[[#This Row],[Doit]])</f>
        <v>3851</v>
      </c>
    </row>
    <row r="36" spans="1:8" x14ac:dyDescent="0.15">
      <c r="A36" s="10">
        <v>44423</v>
      </c>
      <c r="B36" t="s">
        <v>135</v>
      </c>
      <c r="C36" s="17">
        <v>2280</v>
      </c>
      <c r="D36" s="17"/>
      <c r="E36" s="17">
        <f ca="1">SUM(INDEX(Caisse[Avoir],1):Caisse[[#This Row],[Avoir]])-SUM(INDEX(Caisse[Doit],1):Caisse[[#This Row],[Doit]])</f>
        <v>1571</v>
      </c>
      <c r="H36" s="17"/>
    </row>
    <row r="37" spans="1:8" x14ac:dyDescent="0.15">
      <c r="A37" s="10">
        <v>44423</v>
      </c>
      <c r="B37" t="s">
        <v>136</v>
      </c>
      <c r="C37" s="17">
        <v>731</v>
      </c>
      <c r="D37" s="17"/>
      <c r="E37" s="17">
        <f ca="1">SUM(INDEX(Caisse[Avoir],1):Caisse[[#This Row],[Avoir]])-SUM(INDEX(Caisse[Doit],1):Caisse[[#This Row],[Doit]])</f>
        <v>840</v>
      </c>
    </row>
    <row r="38" spans="1:8" x14ac:dyDescent="0.15">
      <c r="A38" s="10">
        <v>44424</v>
      </c>
      <c r="B38" s="14" t="s">
        <v>137</v>
      </c>
      <c r="C38" s="17">
        <v>127</v>
      </c>
      <c r="D38" s="17"/>
      <c r="E38" s="17">
        <f ca="1">SUM(INDEX(Caisse[Avoir],1):Caisse[[#This Row],[Avoir]])-SUM(INDEX(Caisse[Doit],1):Caisse[[#This Row],[Doit]])</f>
        <v>713</v>
      </c>
    </row>
    <row r="39" spans="1:8" x14ac:dyDescent="0.15">
      <c r="A39" s="10">
        <v>44791</v>
      </c>
      <c r="B39" s="16" t="s">
        <v>175</v>
      </c>
      <c r="C39" s="17"/>
      <c r="D39" s="17">
        <v>346</v>
      </c>
      <c r="E39" s="17">
        <f ca="1">SUM(INDEX(Caisse[Avoir],1):Caisse[[#This Row],[Avoir]])-SUM(INDEX(Caisse[Doit],1):Caisse[[#This Row],[Doit]])</f>
        <v>1059</v>
      </c>
    </row>
    <row r="40" spans="1:8" x14ac:dyDescent="0.15">
      <c r="A40" s="10">
        <v>44900</v>
      </c>
      <c r="B40" t="s">
        <v>187</v>
      </c>
      <c r="C40" s="17">
        <v>42</v>
      </c>
      <c r="D40" s="17"/>
      <c r="E40" s="17">
        <f ca="1">SUM(INDEX(Caisse[Avoir],1):Caisse[[#This Row],[Avoir]])-SUM(INDEX(Caisse[Doit],1):Caisse[[#This Row],[Doit]])</f>
        <v>1017</v>
      </c>
    </row>
    <row r="41" spans="1:8" x14ac:dyDescent="0.15">
      <c r="A41" s="10">
        <v>44900</v>
      </c>
      <c r="B41" t="s">
        <v>188</v>
      </c>
      <c r="C41" s="17">
        <v>38</v>
      </c>
      <c r="D41" s="17"/>
      <c r="E41" s="17">
        <f ca="1">SUM(INDEX(Caisse[Avoir],1):Caisse[[#This Row],[Avoir]])-SUM(INDEX(Caisse[Doit],1):Caisse[[#This Row],[Doit]])</f>
        <v>979</v>
      </c>
    </row>
    <row r="42" spans="1:8" x14ac:dyDescent="0.15">
      <c r="A42" s="10">
        <v>44903</v>
      </c>
      <c r="B42" t="s">
        <v>198</v>
      </c>
      <c r="C42" s="17"/>
      <c r="D42" s="17">
        <v>202</v>
      </c>
      <c r="E42" s="17">
        <f ca="1">SUM(INDEX(Caisse[Avoir],1):Caisse[[#This Row],[Avoir]])-SUM(INDEX(Caisse[Doit],1):Caisse[[#This Row],[Doit]])</f>
        <v>1181</v>
      </c>
    </row>
    <row r="43" spans="1:8" x14ac:dyDescent="0.15">
      <c r="A43" s="10">
        <v>44925</v>
      </c>
      <c r="B43" s="16" t="s">
        <v>201</v>
      </c>
      <c r="C43" s="17"/>
      <c r="D43" s="17">
        <v>340.3</v>
      </c>
      <c r="E43" s="17">
        <f ca="1">SUM(INDEX(Caisse[Avoir],1):Caisse[[#This Row],[Avoir]])-SUM(INDEX(Caisse[Doit],1):Caisse[[#This Row],[Doit]])</f>
        <v>1521.2999999999993</v>
      </c>
    </row>
    <row r="44" spans="1:8" x14ac:dyDescent="0.15">
      <c r="A44" t="s">
        <v>8</v>
      </c>
      <c r="B44" s="5"/>
      <c r="C44" s="17">
        <f>SUBTOTAL(109,Caisse[Doit])</f>
        <v>10425.75</v>
      </c>
      <c r="D44" s="17">
        <f>SUBTOTAL(109,Caisse[Avoir])</f>
        <v>11947.05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pageSetUpPr fitToPage="1"/>
  </sheetPr>
  <dimension ref="A1:E87"/>
  <sheetViews>
    <sheetView topLeftCell="A21" zoomScaleNormal="100" workbookViewId="0">
      <selection sqref="A1:E87"/>
    </sheetView>
  </sheetViews>
  <sheetFormatPr defaultColWidth="11.4609375" defaultRowHeight="12.75" x14ac:dyDescent="0.15"/>
  <cols>
    <col min="1" max="1" width="8.22265625" bestFit="1" customWidth="1"/>
    <col min="2" max="2" width="55.421875" bestFit="1" customWidth="1"/>
    <col min="3" max="5" width="14.6953125" bestFit="1" customWidth="1"/>
  </cols>
  <sheetData>
    <row r="1" spans="1:5" ht="12" customHeight="1" x14ac:dyDescent="0.15">
      <c r="A1" s="8"/>
      <c r="B1" s="8"/>
      <c r="C1" s="8"/>
      <c r="D1" s="8"/>
    </row>
    <row r="2" spans="1:5" ht="18" customHeight="1" x14ac:dyDescent="0.2">
      <c r="B2" s="9" t="s">
        <v>0</v>
      </c>
      <c r="C2" s="4" t="s">
        <v>8</v>
      </c>
      <c r="D2" s="3">
        <f>Raiffeisen[[#Totals],[Avoir]]-Raiffeisen[[#Totals],[Doit]]</f>
        <v>11259.540000000005</v>
      </c>
    </row>
    <row r="3" spans="1:5" ht="18" customHeight="1" x14ac:dyDescent="0.15">
      <c r="A3" s="5"/>
      <c r="C3" s="19">
        <f>Raiffeisen[[#Totals],[Doit]]</f>
        <v>7452.9800000000005</v>
      </c>
      <c r="D3" s="3">
        <f>Raiffeisen[[#Totals],[Avoir]]</f>
        <v>18712.520000000004</v>
      </c>
    </row>
    <row r="4" spans="1:5" ht="12" customHeight="1" x14ac:dyDescent="0.15">
      <c r="A4" s="5"/>
      <c r="C4" s="2"/>
      <c r="D4" s="2"/>
    </row>
    <row r="5" spans="1:5" x14ac:dyDescent="0.15">
      <c r="A5" s="12" t="s">
        <v>4</v>
      </c>
      <c r="B5" s="5" t="s">
        <v>5</v>
      </c>
      <c r="C5" s="13" t="s">
        <v>6</v>
      </c>
      <c r="D5" s="13" t="s">
        <v>7</v>
      </c>
      <c r="E5" s="13" t="s">
        <v>16</v>
      </c>
    </row>
    <row r="6" spans="1:5" x14ac:dyDescent="0.15">
      <c r="A6" s="10">
        <v>44196</v>
      </c>
      <c r="B6" s="18" t="s">
        <v>23</v>
      </c>
      <c r="C6" s="17"/>
      <c r="D6" s="17">
        <v>6780.95</v>
      </c>
      <c r="E6" s="17">
        <f ca="1">SUM(INDEX(Raiffeisen[Avoir],1):Raiffeisen[[#This Row],[Avoir]])-SUM(INDEX(Raiffeisen[Doit],1):Raiffeisen[[#This Row],[Doit]])</f>
        <v>6780.95</v>
      </c>
    </row>
    <row r="7" spans="1:5" x14ac:dyDescent="0.15">
      <c r="A7" s="10">
        <v>44222</v>
      </c>
      <c r="B7" s="18" t="s">
        <v>25</v>
      </c>
      <c r="C7" s="17">
        <v>245.15</v>
      </c>
      <c r="D7" s="17"/>
      <c r="E7" s="17">
        <f ca="1">SUM(INDEX(Raiffeisen[Avoir],1):Raiffeisen[[#This Row],[Avoir]])-SUM(INDEX(Raiffeisen[Doit],1):Raiffeisen[[#This Row],[Doit]])</f>
        <v>6535.8</v>
      </c>
    </row>
    <row r="8" spans="1:5" x14ac:dyDescent="0.15">
      <c r="A8" s="11">
        <v>44224</v>
      </c>
      <c r="B8" s="18" t="s">
        <v>28</v>
      </c>
      <c r="C8" s="17">
        <v>215.25</v>
      </c>
      <c r="D8" s="17"/>
      <c r="E8" s="17">
        <f ca="1">SUM(INDEX(Raiffeisen[Avoir],1):Raiffeisen[[#This Row],[Avoir]])-SUM(INDEX(Raiffeisen[Doit],1):Raiffeisen[[#This Row],[Doit]])</f>
        <v>6320.55</v>
      </c>
    </row>
    <row r="9" spans="1:5" x14ac:dyDescent="0.15">
      <c r="A9" s="10">
        <v>44225</v>
      </c>
      <c r="B9" s="18" t="s">
        <v>29</v>
      </c>
      <c r="C9" s="17"/>
      <c r="D9" s="17">
        <v>4990</v>
      </c>
      <c r="E9" s="17">
        <f ca="1">SUM(INDEX(Raiffeisen[Avoir],1):Raiffeisen[[#This Row],[Avoir]])-SUM(INDEX(Raiffeisen[Doit],1):Raiffeisen[[#This Row],[Doit]])</f>
        <v>11310.550000000001</v>
      </c>
    </row>
    <row r="10" spans="1:5" x14ac:dyDescent="0.15">
      <c r="A10" s="10">
        <v>44225</v>
      </c>
      <c r="B10" s="18" t="s">
        <v>31</v>
      </c>
      <c r="C10" s="17"/>
      <c r="D10" s="17">
        <v>92</v>
      </c>
      <c r="E10" s="17">
        <f ca="1">SUM(INDEX(Raiffeisen[Avoir],1):Raiffeisen[[#This Row],[Avoir]])-SUM(INDEX(Raiffeisen[Doit],1):Raiffeisen[[#This Row],[Doit]])</f>
        <v>11402.550000000001</v>
      </c>
    </row>
    <row r="11" spans="1:5" x14ac:dyDescent="0.15">
      <c r="A11" s="10">
        <v>44226</v>
      </c>
      <c r="B11" s="18" t="s">
        <v>32</v>
      </c>
      <c r="C11" s="17">
        <v>356</v>
      </c>
      <c r="D11" s="17"/>
      <c r="E11" s="17">
        <f ca="1">SUM(INDEX(Raiffeisen[Avoir],1):Raiffeisen[[#This Row],[Avoir]])-SUM(INDEX(Raiffeisen[Doit],1):Raiffeisen[[#This Row],[Doit]])</f>
        <v>11046.550000000001</v>
      </c>
    </row>
    <row r="12" spans="1:5" x14ac:dyDescent="0.15">
      <c r="A12" s="10">
        <v>44239</v>
      </c>
      <c r="B12" s="18" t="s">
        <v>34</v>
      </c>
      <c r="C12" s="17"/>
      <c r="D12" s="17">
        <v>30</v>
      </c>
      <c r="E12" s="17">
        <f ca="1">SUM(INDEX(Raiffeisen[Avoir],1):Raiffeisen[[#This Row],[Avoir]])-SUM(INDEX(Raiffeisen[Doit],1):Raiffeisen[[#This Row],[Doit]])</f>
        <v>11076.550000000001</v>
      </c>
    </row>
    <row r="13" spans="1:5" x14ac:dyDescent="0.15">
      <c r="A13" s="10">
        <v>44250</v>
      </c>
      <c r="B13" s="18" t="s">
        <v>19</v>
      </c>
      <c r="C13" s="17">
        <v>98</v>
      </c>
      <c r="D13" s="17"/>
      <c r="E13" s="17">
        <f ca="1">SUM(INDEX(Raiffeisen[Avoir],1):Raiffeisen[[#This Row],[Avoir]])-SUM(INDEX(Raiffeisen[Doit],1):Raiffeisen[[#This Row],[Doit]])</f>
        <v>10978.550000000001</v>
      </c>
    </row>
    <row r="14" spans="1:5" x14ac:dyDescent="0.15">
      <c r="A14" s="10">
        <v>44250</v>
      </c>
      <c r="B14" s="18" t="s">
        <v>36</v>
      </c>
      <c r="C14" s="17"/>
      <c r="D14" s="17">
        <v>30</v>
      </c>
      <c r="E14" s="17">
        <f ca="1">SUM(INDEX(Raiffeisen[Avoir],1):Raiffeisen[[#This Row],[Avoir]])-SUM(INDEX(Raiffeisen[Doit],1):Raiffeisen[[#This Row],[Doit]])</f>
        <v>11008.550000000001</v>
      </c>
    </row>
    <row r="15" spans="1:5" x14ac:dyDescent="0.15">
      <c r="A15" s="10">
        <v>44251</v>
      </c>
      <c r="B15" s="18" t="s">
        <v>37</v>
      </c>
      <c r="C15" s="17"/>
      <c r="D15" s="17">
        <v>30</v>
      </c>
      <c r="E15" s="17">
        <f ca="1">SUM(INDEX(Raiffeisen[Avoir],1):Raiffeisen[[#This Row],[Avoir]])-SUM(INDEX(Raiffeisen[Doit],1):Raiffeisen[[#This Row],[Doit]])</f>
        <v>11038.550000000001</v>
      </c>
    </row>
    <row r="16" spans="1:5" x14ac:dyDescent="0.15">
      <c r="A16" s="10">
        <v>44252</v>
      </c>
      <c r="B16" s="18" t="s">
        <v>41</v>
      </c>
      <c r="C16" s="17"/>
      <c r="D16" s="17">
        <v>30</v>
      </c>
      <c r="E16" s="17">
        <f ca="1">SUM(INDEX(Raiffeisen[Avoir],1):Raiffeisen[[#This Row],[Avoir]])-SUM(INDEX(Raiffeisen[Doit],1):Raiffeisen[[#This Row],[Doit]])</f>
        <v>11068.550000000001</v>
      </c>
    </row>
    <row r="17" spans="1:5" x14ac:dyDescent="0.15">
      <c r="A17" s="10">
        <v>44252</v>
      </c>
      <c r="B17" s="18" t="s">
        <v>42</v>
      </c>
      <c r="C17" s="17"/>
      <c r="D17" s="17">
        <v>30</v>
      </c>
      <c r="E17" s="17">
        <f ca="1">SUM(INDEX(Raiffeisen[Avoir],1):Raiffeisen[[#This Row],[Avoir]])-SUM(INDEX(Raiffeisen[Doit],1):Raiffeisen[[#This Row],[Doit]])</f>
        <v>11098.550000000001</v>
      </c>
    </row>
    <row r="18" spans="1:5" x14ac:dyDescent="0.15">
      <c r="A18" s="10">
        <v>44252</v>
      </c>
      <c r="B18" s="18" t="s">
        <v>43</v>
      </c>
      <c r="C18" s="17"/>
      <c r="D18" s="17">
        <v>30</v>
      </c>
      <c r="E18" s="17">
        <f ca="1">SUM(INDEX(Raiffeisen[Avoir],1):Raiffeisen[[#This Row],[Avoir]])-SUM(INDEX(Raiffeisen[Doit],1):Raiffeisen[[#This Row],[Doit]])</f>
        <v>11128.550000000001</v>
      </c>
    </row>
    <row r="19" spans="1:5" x14ac:dyDescent="0.15">
      <c r="A19" s="10">
        <v>44253</v>
      </c>
      <c r="B19" s="18" t="s">
        <v>44</v>
      </c>
      <c r="C19" s="17"/>
      <c r="D19" s="17">
        <v>30</v>
      </c>
      <c r="E19" s="17">
        <f ca="1">SUM(INDEX(Raiffeisen[Avoir],1):Raiffeisen[[#This Row],[Avoir]])-SUM(INDEX(Raiffeisen[Doit],1):Raiffeisen[[#This Row],[Doit]])</f>
        <v>11158.550000000001</v>
      </c>
    </row>
    <row r="20" spans="1:5" x14ac:dyDescent="0.15">
      <c r="A20" s="10">
        <v>44254</v>
      </c>
      <c r="B20" s="18" t="s">
        <v>47</v>
      </c>
      <c r="C20" s="17"/>
      <c r="D20" s="17">
        <v>30</v>
      </c>
      <c r="E20" s="17">
        <f ca="1">SUM(INDEX(Raiffeisen[Avoir],1):Raiffeisen[[#This Row],[Avoir]])-SUM(INDEX(Raiffeisen[Doit],1):Raiffeisen[[#This Row],[Doit]])</f>
        <v>11188.550000000001</v>
      </c>
    </row>
    <row r="21" spans="1:5" x14ac:dyDescent="0.15">
      <c r="A21" s="10">
        <v>44254</v>
      </c>
      <c r="B21" s="18" t="s">
        <v>48</v>
      </c>
      <c r="C21" s="17"/>
      <c r="D21" s="17">
        <v>30</v>
      </c>
      <c r="E21" s="17">
        <f ca="1">SUM(INDEX(Raiffeisen[Avoir],1):Raiffeisen[[#This Row],[Avoir]])-SUM(INDEX(Raiffeisen[Doit],1):Raiffeisen[[#This Row],[Doit]])</f>
        <v>11218.550000000001</v>
      </c>
    </row>
    <row r="22" spans="1:5" x14ac:dyDescent="0.15">
      <c r="A22" s="10">
        <v>44254</v>
      </c>
      <c r="B22" s="18" t="s">
        <v>49</v>
      </c>
      <c r="C22" s="17"/>
      <c r="D22" s="17">
        <v>30</v>
      </c>
      <c r="E22" s="17">
        <f ca="1">SUM(INDEX(Raiffeisen[Avoir],1):Raiffeisen[[#This Row],[Avoir]])-SUM(INDEX(Raiffeisen[Doit],1):Raiffeisen[[#This Row],[Doit]])</f>
        <v>11248.550000000001</v>
      </c>
    </row>
    <row r="23" spans="1:5" x14ac:dyDescent="0.15">
      <c r="A23" s="10">
        <v>44254</v>
      </c>
      <c r="B23" s="18" t="s">
        <v>50</v>
      </c>
      <c r="C23" s="17"/>
      <c r="D23" s="17">
        <v>30</v>
      </c>
      <c r="E23" s="17">
        <f ca="1">SUM(INDEX(Raiffeisen[Avoir],1):Raiffeisen[[#This Row],[Avoir]])-SUM(INDEX(Raiffeisen[Doit],1):Raiffeisen[[#This Row],[Doit]])</f>
        <v>11278.550000000001</v>
      </c>
    </row>
    <row r="24" spans="1:5" x14ac:dyDescent="0.15">
      <c r="A24" s="10">
        <v>44254</v>
      </c>
      <c r="B24" s="18" t="s">
        <v>51</v>
      </c>
      <c r="C24" s="17"/>
      <c r="D24" s="17">
        <v>30</v>
      </c>
      <c r="E24" s="17">
        <f ca="1">SUM(INDEX(Raiffeisen[Avoir],1):Raiffeisen[[#This Row],[Avoir]])-SUM(INDEX(Raiffeisen[Doit],1):Raiffeisen[[#This Row],[Doit]])</f>
        <v>11308.550000000001</v>
      </c>
    </row>
    <row r="25" spans="1:5" x14ac:dyDescent="0.15">
      <c r="A25" s="10">
        <v>44254</v>
      </c>
      <c r="B25" s="18" t="s">
        <v>52</v>
      </c>
      <c r="C25" s="17"/>
      <c r="D25" s="17">
        <v>30</v>
      </c>
      <c r="E25" s="17">
        <f ca="1">SUM(INDEX(Raiffeisen[Avoir],1):Raiffeisen[[#This Row],[Avoir]])-SUM(INDEX(Raiffeisen[Doit],1):Raiffeisen[[#This Row],[Doit]])</f>
        <v>11338.550000000001</v>
      </c>
    </row>
    <row r="26" spans="1:5" x14ac:dyDescent="0.15">
      <c r="A26" s="10">
        <v>44257</v>
      </c>
      <c r="B26" s="18" t="s">
        <v>53</v>
      </c>
      <c r="C26" s="17"/>
      <c r="D26" s="17">
        <v>90</v>
      </c>
      <c r="E26" s="17">
        <f ca="1">SUM(INDEX(Raiffeisen[Avoir],1):Raiffeisen[[#This Row],[Avoir]])-SUM(INDEX(Raiffeisen[Doit],1):Raiffeisen[[#This Row],[Doit]])</f>
        <v>11428.550000000001</v>
      </c>
    </row>
    <row r="27" spans="1:5" x14ac:dyDescent="0.15">
      <c r="A27" s="10">
        <v>44257</v>
      </c>
      <c r="B27" s="18" t="s">
        <v>55</v>
      </c>
      <c r="C27" s="17"/>
      <c r="D27" s="17">
        <v>30</v>
      </c>
      <c r="E27" s="17">
        <f ca="1">SUM(INDEX(Raiffeisen[Avoir],1):Raiffeisen[[#This Row],[Avoir]])-SUM(INDEX(Raiffeisen[Doit],1):Raiffeisen[[#This Row],[Doit]])</f>
        <v>11458.550000000001</v>
      </c>
    </row>
    <row r="28" spans="1:5" x14ac:dyDescent="0.15">
      <c r="A28" s="10">
        <v>44257</v>
      </c>
      <c r="B28" s="18" t="s">
        <v>56</v>
      </c>
      <c r="C28" s="17"/>
      <c r="D28" s="17">
        <v>30</v>
      </c>
      <c r="E28" s="17">
        <f ca="1">SUM(INDEX(Raiffeisen[Avoir],1):Raiffeisen[[#This Row],[Avoir]])-SUM(INDEX(Raiffeisen[Doit],1):Raiffeisen[[#This Row],[Doit]])</f>
        <v>11488.550000000001</v>
      </c>
    </row>
    <row r="29" spans="1:5" x14ac:dyDescent="0.15">
      <c r="A29" s="10">
        <v>44257</v>
      </c>
      <c r="B29" s="18" t="s">
        <v>57</v>
      </c>
      <c r="C29" s="17"/>
      <c r="D29" s="17">
        <v>30</v>
      </c>
      <c r="E29" s="17">
        <f ca="1">SUM(INDEX(Raiffeisen[Avoir],1):Raiffeisen[[#This Row],[Avoir]])-SUM(INDEX(Raiffeisen[Doit],1):Raiffeisen[[#This Row],[Doit]])</f>
        <v>11518.550000000001</v>
      </c>
    </row>
    <row r="30" spans="1:5" x14ac:dyDescent="0.15">
      <c r="A30" s="10">
        <v>44257</v>
      </c>
      <c r="B30" s="18" t="s">
        <v>58</v>
      </c>
      <c r="C30" s="17"/>
      <c r="D30" s="17">
        <v>30</v>
      </c>
      <c r="E30" s="17">
        <f ca="1">SUM(INDEX(Raiffeisen[Avoir],1):Raiffeisen[[#This Row],[Avoir]])-SUM(INDEX(Raiffeisen[Doit],1):Raiffeisen[[#This Row],[Doit]])</f>
        <v>11548.550000000001</v>
      </c>
    </row>
    <row r="31" spans="1:5" x14ac:dyDescent="0.15">
      <c r="A31" s="10">
        <v>44257</v>
      </c>
      <c r="B31" s="18" t="s">
        <v>59</v>
      </c>
      <c r="C31" s="17"/>
      <c r="D31" s="17">
        <v>30</v>
      </c>
      <c r="E31" s="17">
        <f ca="1">SUM(INDEX(Raiffeisen[Avoir],1):Raiffeisen[[#This Row],[Avoir]])-SUM(INDEX(Raiffeisen[Doit],1):Raiffeisen[[#This Row],[Doit]])</f>
        <v>11578.550000000001</v>
      </c>
    </row>
    <row r="32" spans="1:5" x14ac:dyDescent="0.15">
      <c r="A32" s="10">
        <v>44257</v>
      </c>
      <c r="B32" s="18" t="s">
        <v>60</v>
      </c>
      <c r="C32" s="17"/>
      <c r="D32" s="17">
        <v>30</v>
      </c>
      <c r="E32" s="17">
        <f ca="1">SUM(INDEX(Raiffeisen[Avoir],1):Raiffeisen[[#This Row],[Avoir]])-SUM(INDEX(Raiffeisen[Doit],1):Raiffeisen[[#This Row],[Doit]])</f>
        <v>11608.550000000001</v>
      </c>
    </row>
    <row r="33" spans="1:5" x14ac:dyDescent="0.15">
      <c r="A33" s="10">
        <v>44262</v>
      </c>
      <c r="B33" s="18" t="s">
        <v>66</v>
      </c>
      <c r="C33" s="17">
        <v>264</v>
      </c>
      <c r="D33" s="17"/>
      <c r="E33" s="17">
        <f ca="1">SUM(INDEX(Raiffeisen[Avoir],1):Raiffeisen[[#This Row],[Avoir]])-SUM(INDEX(Raiffeisen[Doit],1):Raiffeisen[[#This Row],[Doit]])</f>
        <v>11344.550000000001</v>
      </c>
    </row>
    <row r="34" spans="1:5" x14ac:dyDescent="0.15">
      <c r="A34" s="10">
        <v>44265</v>
      </c>
      <c r="B34" s="18" t="s">
        <v>81</v>
      </c>
      <c r="C34" s="17"/>
      <c r="D34" s="17">
        <v>148.05000000000001</v>
      </c>
      <c r="E34" s="17">
        <f ca="1">SUM(INDEX(Raiffeisen[Avoir],1):Raiffeisen[[#This Row],[Avoir]])-SUM(INDEX(Raiffeisen[Doit],1):Raiffeisen[[#This Row],[Doit]])</f>
        <v>11492.6</v>
      </c>
    </row>
    <row r="35" spans="1:5" x14ac:dyDescent="0.15">
      <c r="A35" s="10">
        <v>44272</v>
      </c>
      <c r="B35" s="18" t="s">
        <v>83</v>
      </c>
      <c r="C35" s="17"/>
      <c r="D35" s="17">
        <v>30</v>
      </c>
      <c r="E35" s="17">
        <f ca="1">SUM(INDEX(Raiffeisen[Avoir],1):Raiffeisen[[#This Row],[Avoir]])-SUM(INDEX(Raiffeisen[Doit],1):Raiffeisen[[#This Row],[Doit]])</f>
        <v>11522.6</v>
      </c>
    </row>
    <row r="36" spans="1:5" x14ac:dyDescent="0.15">
      <c r="A36" s="10">
        <v>44273</v>
      </c>
      <c r="B36" s="18" t="s">
        <v>84</v>
      </c>
      <c r="C36" s="17"/>
      <c r="D36" s="17">
        <v>30</v>
      </c>
      <c r="E36" s="17">
        <f ca="1">SUM(INDEX(Raiffeisen[Avoir],1):Raiffeisen[[#This Row],[Avoir]])-SUM(INDEX(Raiffeisen[Doit],1):Raiffeisen[[#This Row],[Doit]])</f>
        <v>11552.6</v>
      </c>
    </row>
    <row r="37" spans="1:5" x14ac:dyDescent="0.15">
      <c r="A37" s="10">
        <v>44282</v>
      </c>
      <c r="B37" s="18" t="s">
        <v>85</v>
      </c>
      <c r="C37" s="17">
        <v>15</v>
      </c>
      <c r="D37" s="17"/>
      <c r="E37" s="17">
        <f ca="1">SUM(INDEX(Raiffeisen[Avoir],1):Raiffeisen[[#This Row],[Avoir]])-SUM(INDEX(Raiffeisen[Doit],1):Raiffeisen[[#This Row],[Doit]])</f>
        <v>11537.6</v>
      </c>
    </row>
    <row r="38" spans="1:5" x14ac:dyDescent="0.15">
      <c r="A38" s="10">
        <v>44284</v>
      </c>
      <c r="B38" s="18" t="s">
        <v>88</v>
      </c>
      <c r="C38" s="17">
        <v>515</v>
      </c>
      <c r="D38" s="17"/>
      <c r="E38" s="17">
        <f ca="1">SUM(INDEX(Raiffeisen[Avoir],1):Raiffeisen[[#This Row],[Avoir]])-SUM(INDEX(Raiffeisen[Doit],1):Raiffeisen[[#This Row],[Doit]])</f>
        <v>11022.6</v>
      </c>
    </row>
    <row r="39" spans="1:5" x14ac:dyDescent="0.15">
      <c r="A39" s="10">
        <v>44286</v>
      </c>
      <c r="B39" s="18" t="s">
        <v>91</v>
      </c>
      <c r="C39" s="17"/>
      <c r="D39" s="26">
        <v>24.67</v>
      </c>
      <c r="E39" s="17">
        <f ca="1">SUM(INDEX(Raiffeisen[Avoir],1):Raiffeisen[[#This Row],[Avoir]])-SUM(INDEX(Raiffeisen[Doit],1):Raiffeisen[[#This Row],[Doit]])</f>
        <v>11047.27</v>
      </c>
    </row>
    <row r="40" spans="1:5" x14ac:dyDescent="0.15">
      <c r="A40" s="10">
        <v>44293</v>
      </c>
      <c r="B40" s="18" t="s">
        <v>93</v>
      </c>
      <c r="C40" s="17"/>
      <c r="D40" s="17">
        <v>15</v>
      </c>
      <c r="E40" s="17">
        <f ca="1">SUM(INDEX(Raiffeisen[Avoir],1):Raiffeisen[[#This Row],[Avoir]])-SUM(INDEX(Raiffeisen[Doit],1):Raiffeisen[[#This Row],[Doit]])</f>
        <v>11062.27</v>
      </c>
    </row>
    <row r="41" spans="1:5" x14ac:dyDescent="0.15">
      <c r="A41" s="10">
        <v>44299</v>
      </c>
      <c r="B41" s="18" t="s">
        <v>94</v>
      </c>
      <c r="C41" s="17"/>
      <c r="D41" s="17">
        <v>30</v>
      </c>
      <c r="E41" s="17">
        <f ca="1">SUM(INDEX(Raiffeisen[Avoir],1):Raiffeisen[[#This Row],[Avoir]])-SUM(INDEX(Raiffeisen[Doit],1):Raiffeisen[[#This Row],[Doit]])</f>
        <v>11092.27</v>
      </c>
    </row>
    <row r="42" spans="1:5" x14ac:dyDescent="0.15">
      <c r="A42" s="10">
        <v>44314</v>
      </c>
      <c r="B42" s="16" t="s">
        <v>96</v>
      </c>
      <c r="C42" s="17"/>
      <c r="D42" s="17">
        <v>19.739999999999998</v>
      </c>
      <c r="E42" s="17">
        <f ca="1">SUM(INDEX(Raiffeisen[Avoir],1):Raiffeisen[[#This Row],[Avoir]])-SUM(INDEX(Raiffeisen[Doit],1):Raiffeisen[[#This Row],[Doit]])</f>
        <v>11112.01</v>
      </c>
    </row>
    <row r="43" spans="1:5" x14ac:dyDescent="0.15">
      <c r="A43" s="10">
        <v>44320</v>
      </c>
      <c r="B43" s="18" t="s">
        <v>98</v>
      </c>
      <c r="C43" s="17">
        <v>116.6</v>
      </c>
      <c r="D43" s="17"/>
      <c r="E43" s="17">
        <f ca="1">SUM(INDEX(Raiffeisen[Avoir],1):Raiffeisen[[#This Row],[Avoir]])-SUM(INDEX(Raiffeisen[Doit],1):Raiffeisen[[#This Row],[Doit]])</f>
        <v>10995.41</v>
      </c>
    </row>
    <row r="44" spans="1:5" x14ac:dyDescent="0.15">
      <c r="A44" s="10">
        <v>44320</v>
      </c>
      <c r="B44" s="18" t="s">
        <v>108</v>
      </c>
      <c r="C44" s="17">
        <v>1000</v>
      </c>
      <c r="D44" s="17"/>
      <c r="E44" s="17">
        <f ca="1">SUM(INDEX(Raiffeisen[Avoir],1):Raiffeisen[[#This Row],[Avoir]])-SUM(INDEX(Raiffeisen[Doit],1):Raiffeisen[[#This Row],[Doit]])</f>
        <v>9995.41</v>
      </c>
    </row>
    <row r="45" spans="1:5" x14ac:dyDescent="0.15">
      <c r="A45" s="10">
        <v>44321</v>
      </c>
      <c r="B45" s="16" t="s">
        <v>96</v>
      </c>
      <c r="C45" s="17"/>
      <c r="D45" s="17">
        <v>22.7</v>
      </c>
      <c r="E45" s="17">
        <f ca="1">SUM(INDEX(Raiffeisen[Avoir],1):Raiffeisen[[#This Row],[Avoir]])-SUM(INDEX(Raiffeisen[Doit],1):Raiffeisen[[#This Row],[Doit]])</f>
        <v>10018.11</v>
      </c>
    </row>
    <row r="46" spans="1:5" x14ac:dyDescent="0.15">
      <c r="A46" s="10">
        <v>44323</v>
      </c>
      <c r="B46" s="18" t="s">
        <v>108</v>
      </c>
      <c r="C46" s="17">
        <v>1000</v>
      </c>
      <c r="D46" s="17"/>
      <c r="E46" s="17">
        <f ca="1">SUM(INDEX(Raiffeisen[Avoir],1):Raiffeisen[[#This Row],[Avoir]])-SUM(INDEX(Raiffeisen[Doit],1):Raiffeisen[[#This Row],[Doit]])</f>
        <v>9018.11</v>
      </c>
    </row>
    <row r="47" spans="1:5" x14ac:dyDescent="0.15">
      <c r="A47" s="10">
        <v>44323</v>
      </c>
      <c r="B47" s="18" t="s">
        <v>108</v>
      </c>
      <c r="C47" s="17">
        <v>200</v>
      </c>
      <c r="D47" s="17"/>
      <c r="E47" s="17">
        <f ca="1">SUM(INDEX(Raiffeisen[Avoir],1):Raiffeisen[[#This Row],[Avoir]])-SUM(INDEX(Raiffeisen[Doit],1):Raiffeisen[[#This Row],[Doit]])</f>
        <v>8818.11</v>
      </c>
    </row>
    <row r="48" spans="1:5" x14ac:dyDescent="0.15">
      <c r="A48" s="10">
        <v>44328</v>
      </c>
      <c r="B48" s="16" t="s">
        <v>109</v>
      </c>
      <c r="C48" s="17"/>
      <c r="D48" s="17">
        <v>1494.26</v>
      </c>
      <c r="E48" s="17">
        <f ca="1">SUM(INDEX(Raiffeisen[Avoir],1):Raiffeisen[[#This Row],[Avoir]])-SUM(INDEX(Raiffeisen[Doit],1):Raiffeisen[[#This Row],[Doit]])</f>
        <v>10312.370000000001</v>
      </c>
    </row>
    <row r="49" spans="1:5" x14ac:dyDescent="0.15">
      <c r="A49" s="10">
        <v>44341</v>
      </c>
      <c r="B49" s="18" t="s">
        <v>113</v>
      </c>
      <c r="C49" s="17">
        <v>54.4</v>
      </c>
      <c r="D49" s="17"/>
      <c r="E49" s="17">
        <f ca="1">SUM(INDEX(Raiffeisen[Avoir],1):Raiffeisen[[#This Row],[Avoir]])-SUM(INDEX(Raiffeisen[Doit],1):Raiffeisen[[#This Row],[Doit]])</f>
        <v>10257.970000000001</v>
      </c>
    </row>
    <row r="50" spans="1:5" x14ac:dyDescent="0.15">
      <c r="A50" s="10">
        <v>44342</v>
      </c>
      <c r="B50" s="16" t="s">
        <v>96</v>
      </c>
      <c r="C50" s="17"/>
      <c r="D50" s="17">
        <v>13.82</v>
      </c>
      <c r="E50" s="17">
        <f ca="1">SUM(INDEX(Raiffeisen[Avoir],1):Raiffeisen[[#This Row],[Avoir]])-SUM(INDEX(Raiffeisen[Doit],1):Raiffeisen[[#This Row],[Doit]])</f>
        <v>10271.790000000001</v>
      </c>
    </row>
    <row r="51" spans="1:5" x14ac:dyDescent="0.15">
      <c r="A51" s="10">
        <v>44350</v>
      </c>
      <c r="B51" s="18" t="s">
        <v>116</v>
      </c>
      <c r="C51" s="17">
        <v>852.6</v>
      </c>
      <c r="D51" s="17"/>
      <c r="E51" s="17">
        <f ca="1">SUM(INDEX(Raiffeisen[Avoir],1):Raiffeisen[[#This Row],[Avoir]])-SUM(INDEX(Raiffeisen[Doit],1):Raiffeisen[[#This Row],[Doit]])</f>
        <v>9419.19</v>
      </c>
    </row>
    <row r="52" spans="1:5" x14ac:dyDescent="0.15">
      <c r="A52" s="10">
        <v>44350</v>
      </c>
      <c r="B52" s="18" t="s">
        <v>117</v>
      </c>
      <c r="C52" s="17">
        <v>318.7</v>
      </c>
      <c r="D52" s="17"/>
      <c r="E52" s="17">
        <f ca="1">SUM(INDEX(Raiffeisen[Avoir],1):Raiffeisen[[#This Row],[Avoir]])-SUM(INDEX(Raiffeisen[Doit],1):Raiffeisen[[#This Row],[Doit]])</f>
        <v>9100.4900000000016</v>
      </c>
    </row>
    <row r="53" spans="1:5" x14ac:dyDescent="0.15">
      <c r="A53" s="10">
        <v>44350</v>
      </c>
      <c r="B53" s="18" t="s">
        <v>115</v>
      </c>
      <c r="C53" s="17">
        <v>41.45</v>
      </c>
      <c r="D53" s="17"/>
      <c r="E53" s="17">
        <f ca="1">SUM(INDEX(Raiffeisen[Avoir],1):Raiffeisen[[#This Row],[Avoir]])-SUM(INDEX(Raiffeisen[Doit],1):Raiffeisen[[#This Row],[Doit]])</f>
        <v>9059.0400000000009</v>
      </c>
    </row>
    <row r="54" spans="1:5" x14ac:dyDescent="0.15">
      <c r="A54" s="10">
        <v>44350</v>
      </c>
      <c r="B54" s="18" t="s">
        <v>118</v>
      </c>
      <c r="C54" s="17">
        <v>50</v>
      </c>
      <c r="D54" s="17"/>
      <c r="E54" s="17">
        <f ca="1">SUM(INDEX(Raiffeisen[Avoir],1):Raiffeisen[[#This Row],[Avoir]])-SUM(INDEX(Raiffeisen[Doit],1):Raiffeisen[[#This Row],[Doit]])</f>
        <v>9009.0400000000009</v>
      </c>
    </row>
    <row r="55" spans="1:5" x14ac:dyDescent="0.15">
      <c r="A55" s="10">
        <v>44368</v>
      </c>
      <c r="B55" s="18" t="s">
        <v>122</v>
      </c>
      <c r="C55" s="17">
        <v>34.299999999999997</v>
      </c>
      <c r="D55" s="17"/>
      <c r="E55" s="17">
        <f ca="1">SUM(INDEX(Raiffeisen[Avoir],1):Raiffeisen[[#This Row],[Avoir]])-SUM(INDEX(Raiffeisen[Doit],1):Raiffeisen[[#This Row],[Doit]])</f>
        <v>8974.7400000000016</v>
      </c>
    </row>
    <row r="56" spans="1:5" x14ac:dyDescent="0.15">
      <c r="A56" s="10">
        <v>44369</v>
      </c>
      <c r="B56" s="18" t="s">
        <v>123</v>
      </c>
      <c r="C56" s="17"/>
      <c r="D56" s="17">
        <v>211</v>
      </c>
      <c r="E56" s="17">
        <f ca="1">SUM(INDEX(Raiffeisen[Avoir],1):Raiffeisen[[#This Row],[Avoir]])-SUM(INDEX(Raiffeisen[Doit],1):Raiffeisen[[#This Row],[Doit]])</f>
        <v>9185.7400000000016</v>
      </c>
    </row>
    <row r="57" spans="1:5" x14ac:dyDescent="0.15">
      <c r="A57" s="10">
        <v>44370</v>
      </c>
      <c r="B57" s="16" t="s">
        <v>96</v>
      </c>
      <c r="C57" s="17"/>
      <c r="D57" s="17">
        <v>31.59</v>
      </c>
      <c r="E57" s="17">
        <f ca="1">SUM(INDEX(Raiffeisen[Avoir],1):Raiffeisen[[#This Row],[Avoir]])-SUM(INDEX(Raiffeisen[Doit],1):Raiffeisen[[#This Row],[Doit]])</f>
        <v>9217.3300000000017</v>
      </c>
    </row>
    <row r="58" spans="1:5" x14ac:dyDescent="0.15">
      <c r="A58" s="10">
        <v>44373</v>
      </c>
      <c r="B58" s="18" t="s">
        <v>85</v>
      </c>
      <c r="C58" s="17">
        <v>15</v>
      </c>
      <c r="D58" s="17"/>
      <c r="E58" s="17">
        <f ca="1">SUM(INDEX(Raiffeisen[Avoir],1):Raiffeisen[[#This Row],[Avoir]])-SUM(INDEX(Raiffeisen[Doit],1):Raiffeisen[[#This Row],[Doit]])</f>
        <v>9202.3300000000017</v>
      </c>
    </row>
    <row r="59" spans="1:5" x14ac:dyDescent="0.15">
      <c r="A59" s="10">
        <v>44376</v>
      </c>
      <c r="B59" s="18" t="s">
        <v>125</v>
      </c>
      <c r="C59" s="17">
        <v>204</v>
      </c>
      <c r="D59" s="17"/>
      <c r="E59" s="17">
        <f ca="1">SUM(INDEX(Raiffeisen[Avoir],1):Raiffeisen[[#This Row],[Avoir]])-SUM(INDEX(Raiffeisen[Doit],1):Raiffeisen[[#This Row],[Doit]])</f>
        <v>8998.3300000000017</v>
      </c>
    </row>
    <row r="60" spans="1:5" x14ac:dyDescent="0.15">
      <c r="A60" s="10">
        <v>44377</v>
      </c>
      <c r="B60" s="18" t="s">
        <v>129</v>
      </c>
      <c r="C60" s="17"/>
      <c r="D60" s="17">
        <v>29.61</v>
      </c>
      <c r="E60" s="17">
        <f ca="1">SUM(INDEX(Raiffeisen[Avoir],1):Raiffeisen[[#This Row],[Avoir]])-SUM(INDEX(Raiffeisen[Doit],1):Raiffeisen[[#This Row],[Doit]])</f>
        <v>9027.9400000000023</v>
      </c>
    </row>
    <row r="61" spans="1:5" x14ac:dyDescent="0.15">
      <c r="A61" s="10">
        <v>44384</v>
      </c>
      <c r="B61" s="18" t="s">
        <v>132</v>
      </c>
      <c r="C61" s="17"/>
      <c r="D61" s="17">
        <v>53.28</v>
      </c>
      <c r="E61" s="17">
        <f ca="1">SUM(INDEX(Raiffeisen[Avoir],1):Raiffeisen[[#This Row],[Avoir]])-SUM(INDEX(Raiffeisen[Doit],1):Raiffeisen[[#This Row],[Doit]])</f>
        <v>9081.2200000000012</v>
      </c>
    </row>
    <row r="62" spans="1:5" x14ac:dyDescent="0.15">
      <c r="A62" s="10">
        <v>44398</v>
      </c>
      <c r="B62" s="14" t="s">
        <v>126</v>
      </c>
      <c r="C62" s="17"/>
      <c r="D62" s="17">
        <v>160.5</v>
      </c>
      <c r="E62" s="17">
        <f ca="1">SUM(INDEX(Raiffeisen[Avoir],1):Raiffeisen[[#This Row],[Avoir]])-SUM(INDEX(Raiffeisen[Doit],1):Raiffeisen[[#This Row],[Doit]])</f>
        <v>9241.7200000000012</v>
      </c>
    </row>
    <row r="63" spans="1:5" x14ac:dyDescent="0.15">
      <c r="A63" s="10">
        <v>44398</v>
      </c>
      <c r="B63" s="18" t="s">
        <v>132</v>
      </c>
      <c r="C63" s="17"/>
      <c r="D63" s="17">
        <v>68.09</v>
      </c>
      <c r="E63" s="17">
        <f ca="1">SUM(INDEX(Raiffeisen[Avoir],1):Raiffeisen[[#This Row],[Avoir]])-SUM(INDEX(Raiffeisen[Doit],1):Raiffeisen[[#This Row],[Doit]])</f>
        <v>9309.8100000000013</v>
      </c>
    </row>
    <row r="64" spans="1:5" x14ac:dyDescent="0.15">
      <c r="A64" s="10">
        <v>44404</v>
      </c>
      <c r="B64" t="s">
        <v>133</v>
      </c>
      <c r="C64" s="17"/>
      <c r="D64" s="17">
        <v>30</v>
      </c>
      <c r="E64" s="17">
        <f ca="1">SUM(INDEX(Raiffeisen[Avoir],1):Raiffeisen[[#This Row],[Avoir]])-SUM(INDEX(Raiffeisen[Doit],1):Raiffeisen[[#This Row],[Doit]])</f>
        <v>9339.8100000000013</v>
      </c>
    </row>
    <row r="65" spans="1:5" x14ac:dyDescent="0.15">
      <c r="A65" s="10">
        <v>44407</v>
      </c>
      <c r="B65" t="s">
        <v>115</v>
      </c>
      <c r="C65" s="17">
        <v>70</v>
      </c>
      <c r="D65" s="17"/>
      <c r="E65" s="17">
        <f ca="1">SUM(INDEX(Raiffeisen[Avoir],1):Raiffeisen[[#This Row],[Avoir]])-SUM(INDEX(Raiffeisen[Doit],1):Raiffeisen[[#This Row],[Doit]])</f>
        <v>9269.8100000000013</v>
      </c>
    </row>
    <row r="66" spans="1:5" x14ac:dyDescent="0.15">
      <c r="A66" s="10">
        <v>44422</v>
      </c>
      <c r="B66" t="s">
        <v>134</v>
      </c>
      <c r="C66" s="17">
        <v>48</v>
      </c>
      <c r="D66" s="17"/>
      <c r="E66" s="17">
        <f ca="1">SUM(INDEX(Raiffeisen[Avoir],1):Raiffeisen[[#This Row],[Avoir]])-SUM(INDEX(Raiffeisen[Doit],1):Raiffeisen[[#This Row],[Doit]])</f>
        <v>9221.8100000000013</v>
      </c>
    </row>
    <row r="67" spans="1:5" x14ac:dyDescent="0.15">
      <c r="A67" s="10">
        <v>44423</v>
      </c>
      <c r="B67" t="s">
        <v>135</v>
      </c>
      <c r="C67" s="17"/>
      <c r="D67" s="17">
        <v>2280</v>
      </c>
      <c r="E67" s="17">
        <f ca="1">SUM(INDEX(Raiffeisen[Avoir],1):Raiffeisen[[#This Row],[Avoir]])-SUM(INDEX(Raiffeisen[Doit],1):Raiffeisen[[#This Row],[Doit]])</f>
        <v>11501.810000000001</v>
      </c>
    </row>
    <row r="68" spans="1:5" x14ac:dyDescent="0.15">
      <c r="A68" s="10">
        <v>44423</v>
      </c>
      <c r="B68" t="s">
        <v>136</v>
      </c>
      <c r="C68" s="17"/>
      <c r="D68" s="17">
        <v>731</v>
      </c>
      <c r="E68" s="17">
        <f ca="1">SUM(INDEX(Raiffeisen[Avoir],1):Raiffeisen[[#This Row],[Avoir]])-SUM(INDEX(Raiffeisen[Doit],1):Raiffeisen[[#This Row],[Doit]])</f>
        <v>12232.810000000001</v>
      </c>
    </row>
    <row r="69" spans="1:5" x14ac:dyDescent="0.15">
      <c r="A69" s="10">
        <v>44425</v>
      </c>
      <c r="B69" t="s">
        <v>138</v>
      </c>
      <c r="C69" s="17">
        <v>144.19999999999999</v>
      </c>
      <c r="D69" s="17"/>
      <c r="E69" s="17">
        <f ca="1">SUM(INDEX(Raiffeisen[Avoir],1):Raiffeisen[[#This Row],[Avoir]])-SUM(INDEX(Raiffeisen[Doit],1):Raiffeisen[[#This Row],[Doit]])</f>
        <v>12088.610000000002</v>
      </c>
    </row>
    <row r="70" spans="1:5" x14ac:dyDescent="0.15">
      <c r="A70" s="10">
        <v>44426</v>
      </c>
      <c r="B70" t="s">
        <v>140</v>
      </c>
      <c r="C70" s="17"/>
      <c r="D70" s="17">
        <v>143.21</v>
      </c>
      <c r="E70" s="17">
        <f ca="1">SUM(INDEX(Raiffeisen[Avoir],1):Raiffeisen[[#This Row],[Avoir]])-SUM(INDEX(Raiffeisen[Doit],1):Raiffeisen[[#This Row],[Doit]])</f>
        <v>12231.820000000002</v>
      </c>
    </row>
    <row r="71" spans="1:5" x14ac:dyDescent="0.15">
      <c r="A71" s="10">
        <v>44433</v>
      </c>
      <c r="B71" t="s">
        <v>142</v>
      </c>
      <c r="C71" s="17">
        <v>29.5</v>
      </c>
      <c r="D71" s="17"/>
      <c r="E71" s="17">
        <f ca="1">SUM(INDEX(Raiffeisen[Avoir],1):Raiffeisen[[#This Row],[Avoir]])-SUM(INDEX(Raiffeisen[Doit],1):Raiffeisen[[#This Row],[Doit]])</f>
        <v>12202.320000000002</v>
      </c>
    </row>
    <row r="72" spans="1:5" x14ac:dyDescent="0.15">
      <c r="A72" s="10">
        <v>44447</v>
      </c>
      <c r="B72" t="s">
        <v>143</v>
      </c>
      <c r="C72" s="17">
        <v>42</v>
      </c>
      <c r="D72" s="17"/>
      <c r="E72" s="17">
        <f ca="1">SUM(INDEX(Raiffeisen[Avoir],1):Raiffeisen[[#This Row],[Avoir]])-SUM(INDEX(Raiffeisen[Doit],1):Raiffeisen[[#This Row],[Doit]])</f>
        <v>12160.320000000002</v>
      </c>
    </row>
    <row r="73" spans="1:5" x14ac:dyDescent="0.15">
      <c r="A73" s="10">
        <v>44447</v>
      </c>
      <c r="B73" t="s">
        <v>143</v>
      </c>
      <c r="C73" s="17">
        <v>100.8</v>
      </c>
      <c r="D73" s="17"/>
      <c r="E73" s="17">
        <f ca="1">SUM(INDEX(Raiffeisen[Avoir],1):Raiffeisen[[#This Row],[Avoir]])-SUM(INDEX(Raiffeisen[Doit],1):Raiffeisen[[#This Row],[Doit]])</f>
        <v>12059.52</v>
      </c>
    </row>
    <row r="74" spans="1:5" x14ac:dyDescent="0.15">
      <c r="A74" s="10">
        <v>44447</v>
      </c>
      <c r="B74" t="s">
        <v>144</v>
      </c>
      <c r="C74" s="17">
        <v>334.7</v>
      </c>
      <c r="D74" s="17"/>
      <c r="E74" s="17">
        <f ca="1">SUM(INDEX(Raiffeisen[Avoir],1):Raiffeisen[[#This Row],[Avoir]])-SUM(INDEX(Raiffeisen[Doit],1):Raiffeisen[[#This Row],[Doit]])</f>
        <v>11724.820000000002</v>
      </c>
    </row>
    <row r="75" spans="1:5" x14ac:dyDescent="0.15">
      <c r="A75" s="10">
        <v>44818</v>
      </c>
      <c r="B75" t="s">
        <v>176</v>
      </c>
      <c r="C75" s="17">
        <v>153.85</v>
      </c>
      <c r="D75" s="17"/>
      <c r="E75" s="17">
        <f ca="1">SUM(INDEX(Raiffeisen[Avoir],1):Raiffeisen[[#This Row],[Avoir]])-SUM(INDEX(Raiffeisen[Doit],1):Raiffeisen[[#This Row],[Doit]])</f>
        <v>11570.970000000001</v>
      </c>
    </row>
    <row r="76" spans="1:5" x14ac:dyDescent="0.15">
      <c r="A76" s="10">
        <v>44818</v>
      </c>
      <c r="B76" t="s">
        <v>177</v>
      </c>
      <c r="C76" s="17">
        <v>55.88</v>
      </c>
      <c r="D76" s="17"/>
      <c r="E76" s="17">
        <f ca="1">SUM(INDEX(Raiffeisen[Avoir],1):Raiffeisen[[#This Row],[Avoir]])-SUM(INDEX(Raiffeisen[Doit],1):Raiffeisen[[#This Row],[Doit]])</f>
        <v>11515.09</v>
      </c>
    </row>
    <row r="77" spans="1:5" x14ac:dyDescent="0.15">
      <c r="A77" s="10">
        <v>44818</v>
      </c>
      <c r="B77" t="s">
        <v>178</v>
      </c>
      <c r="C77" s="17">
        <v>105.41</v>
      </c>
      <c r="D77" s="17"/>
      <c r="E77" s="17">
        <f ca="1">SUM(INDEX(Raiffeisen[Avoir],1):Raiffeisen[[#This Row],[Avoir]])-SUM(INDEX(Raiffeisen[Doit],1):Raiffeisen[[#This Row],[Doit]])</f>
        <v>11409.68</v>
      </c>
    </row>
    <row r="78" spans="1:5" x14ac:dyDescent="0.15">
      <c r="A78" s="10">
        <v>44818</v>
      </c>
      <c r="B78" t="s">
        <v>179</v>
      </c>
      <c r="C78" s="17">
        <v>119.39</v>
      </c>
      <c r="D78" s="17"/>
      <c r="E78" s="17">
        <f ca="1">SUM(INDEX(Raiffeisen[Avoir],1):Raiffeisen[[#This Row],[Avoir]])-SUM(INDEX(Raiffeisen[Doit],1):Raiffeisen[[#This Row],[Doit]])</f>
        <v>11290.29</v>
      </c>
    </row>
    <row r="79" spans="1:5" x14ac:dyDescent="0.15">
      <c r="A79" s="10">
        <v>44819</v>
      </c>
      <c r="B79" t="s">
        <v>182</v>
      </c>
      <c r="C79" s="17"/>
      <c r="D79" s="17">
        <v>340.49</v>
      </c>
      <c r="E79" s="17">
        <f ca="1">SUM(INDEX(Raiffeisen[Avoir],1):Raiffeisen[[#This Row],[Avoir]])-SUM(INDEX(Raiffeisen[Doit],1):Raiffeisen[[#This Row],[Doit]])</f>
        <v>11630.780000000002</v>
      </c>
    </row>
    <row r="80" spans="1:5" x14ac:dyDescent="0.15">
      <c r="A80" s="10">
        <v>44832</v>
      </c>
      <c r="B80" s="18" t="s">
        <v>85</v>
      </c>
      <c r="C80" s="17">
        <v>15</v>
      </c>
      <c r="D80" s="17"/>
      <c r="E80" s="17">
        <f ca="1">SUM(INDEX(Raiffeisen[Avoir],1):Raiffeisen[[#This Row],[Avoir]])-SUM(INDEX(Raiffeisen[Doit],1):Raiffeisen[[#This Row],[Doit]])</f>
        <v>11615.780000000002</v>
      </c>
    </row>
    <row r="81" spans="1:5" x14ac:dyDescent="0.15">
      <c r="A81" s="10">
        <v>44833</v>
      </c>
      <c r="B81" t="s">
        <v>184</v>
      </c>
      <c r="C81" s="17"/>
      <c r="D81" s="17">
        <v>250</v>
      </c>
      <c r="E81" s="17">
        <f ca="1">SUM(INDEX(Raiffeisen[Avoir],1):Raiffeisen[[#This Row],[Avoir]])-SUM(INDEX(Raiffeisen[Doit],1):Raiffeisen[[#This Row],[Doit]])</f>
        <v>11865.780000000002</v>
      </c>
    </row>
    <row r="82" spans="1:5" x14ac:dyDescent="0.15">
      <c r="A82" s="10">
        <v>44868</v>
      </c>
      <c r="B82" t="s">
        <v>115</v>
      </c>
      <c r="C82" s="17">
        <v>70</v>
      </c>
      <c r="D82" s="17"/>
      <c r="E82" s="17">
        <f ca="1">SUM(INDEX(Raiffeisen[Avoir],1):Raiffeisen[[#This Row],[Avoir]])-SUM(INDEX(Raiffeisen[Doit],1):Raiffeisen[[#This Row],[Doit]])</f>
        <v>11795.780000000002</v>
      </c>
    </row>
    <row r="83" spans="1:5" x14ac:dyDescent="0.15">
      <c r="A83" s="10">
        <v>44902</v>
      </c>
      <c r="B83" t="s">
        <v>190</v>
      </c>
      <c r="C83" s="17">
        <v>256</v>
      </c>
      <c r="D83" s="17"/>
      <c r="E83" s="17">
        <f ca="1">SUM(INDEX(Raiffeisen[Avoir],1):Raiffeisen[[#This Row],[Avoir]])-SUM(INDEX(Raiffeisen[Doit],1):Raiffeisen[[#This Row],[Doit]])</f>
        <v>11539.780000000002</v>
      </c>
    </row>
    <row r="84" spans="1:5" x14ac:dyDescent="0.15">
      <c r="A84" s="10">
        <v>44902</v>
      </c>
      <c r="B84" t="s">
        <v>191</v>
      </c>
      <c r="C84" s="17">
        <v>297.8</v>
      </c>
      <c r="D84" s="17"/>
      <c r="E84" s="17">
        <f ca="1">SUM(INDEX(Raiffeisen[Avoir],1):Raiffeisen[[#This Row],[Avoir]])-SUM(INDEX(Raiffeisen[Doit],1):Raiffeisen[[#This Row],[Doit]])</f>
        <v>11241.980000000003</v>
      </c>
    </row>
    <row r="85" spans="1:5" x14ac:dyDescent="0.15">
      <c r="A85" s="10">
        <v>44903</v>
      </c>
      <c r="B85" t="s">
        <v>194</v>
      </c>
      <c r="C85" s="17"/>
      <c r="D85" s="17">
        <v>32.56</v>
      </c>
      <c r="E85" s="17">
        <f ca="1">SUM(INDEX(Raiffeisen[Avoir],1):Raiffeisen[[#This Row],[Avoir]])-SUM(INDEX(Raiffeisen[Doit],1):Raiffeisen[[#This Row],[Doit]])</f>
        <v>11274.540000000005</v>
      </c>
    </row>
    <row r="86" spans="1:5" x14ac:dyDescent="0.15">
      <c r="A86" s="10">
        <v>44924</v>
      </c>
      <c r="B86" t="s">
        <v>197</v>
      </c>
      <c r="C86" s="17">
        <v>15</v>
      </c>
      <c r="D86" s="17"/>
      <c r="E86" s="17">
        <f ca="1">SUM(INDEX(Raiffeisen[Avoir],1):Raiffeisen[[#This Row],[Avoir]])-SUM(INDEX(Raiffeisen[Doit],1):Raiffeisen[[#This Row],[Doit]])</f>
        <v>11259.540000000005</v>
      </c>
    </row>
    <row r="87" spans="1:5" x14ac:dyDescent="0.15">
      <c r="A87" t="s">
        <v>8</v>
      </c>
      <c r="B87" s="5"/>
      <c r="C87" s="17">
        <f>SUBTOTAL(109,Raiffeisen[Doit])</f>
        <v>7452.9800000000005</v>
      </c>
      <c r="D87" s="17">
        <f>SUBTOTAL(109,Raiffeisen[Avoir])</f>
        <v>18712.520000000004</v>
      </c>
    </row>
  </sheetData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pageSetUpPr fitToPage="1"/>
  </sheetPr>
  <dimension ref="A1:F77"/>
  <sheetViews>
    <sheetView topLeftCell="A21" zoomScaleNormal="100" workbookViewId="0">
      <selection activeCell="A2" sqref="A2:D77"/>
    </sheetView>
  </sheetViews>
  <sheetFormatPr defaultColWidth="11.4609375" defaultRowHeight="12.75" x14ac:dyDescent="0.15"/>
  <cols>
    <col min="1" max="1" width="9.84375" bestFit="1" customWidth="1"/>
    <col min="2" max="2" width="55.421875" bestFit="1" customWidth="1"/>
    <col min="3" max="4" width="13.75390625" bestFit="1" customWidth="1"/>
    <col min="6" max="6" width="13.75390625" bestFit="1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B2" s="9" t="s">
        <v>1</v>
      </c>
      <c r="C2" s="4" t="s">
        <v>8</v>
      </c>
      <c r="D2" s="3">
        <f>Produits[[#Totals],[Avoir]] - Produits[[#Totals],[Doit]]</f>
        <v>0</v>
      </c>
    </row>
    <row r="3" spans="1:4" ht="18" customHeight="1" x14ac:dyDescent="0.15">
      <c r="A3" s="5"/>
      <c r="C3" s="3">
        <f>Produits[[#Totals],[Doit]]</f>
        <v>4509.2599999999984</v>
      </c>
      <c r="D3" s="3">
        <f>Produits[[#Totals],[Avoir]]</f>
        <v>4509.26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1">
        <v>44224</v>
      </c>
      <c r="B6" s="18" t="s">
        <v>28</v>
      </c>
      <c r="C6" s="17">
        <v>215.25</v>
      </c>
      <c r="D6" s="15"/>
    </row>
    <row r="7" spans="1:4" x14ac:dyDescent="0.15">
      <c r="A7" s="10">
        <v>44226</v>
      </c>
      <c r="B7" s="18" t="s">
        <v>32</v>
      </c>
      <c r="C7" s="17">
        <v>356</v>
      </c>
      <c r="D7" s="15"/>
    </row>
    <row r="8" spans="1:4" x14ac:dyDescent="0.15">
      <c r="A8" s="10">
        <v>44250</v>
      </c>
      <c r="B8" s="18" t="s">
        <v>19</v>
      </c>
      <c r="C8" s="17">
        <v>98</v>
      </c>
      <c r="D8" s="17"/>
    </row>
    <row r="9" spans="1:4" x14ac:dyDescent="0.15">
      <c r="A9" s="10">
        <v>44262</v>
      </c>
      <c r="B9" s="16" t="s">
        <v>61</v>
      </c>
      <c r="C9" s="17">
        <v>42</v>
      </c>
      <c r="D9" s="17"/>
    </row>
    <row r="10" spans="1:4" x14ac:dyDescent="0.15">
      <c r="A10" s="10">
        <v>44262</v>
      </c>
      <c r="B10" s="18" t="s">
        <v>64</v>
      </c>
      <c r="C10" s="17">
        <v>140</v>
      </c>
      <c r="D10" s="17"/>
    </row>
    <row r="11" spans="1:4" x14ac:dyDescent="0.15">
      <c r="A11" s="21">
        <v>44262</v>
      </c>
      <c r="B11" s="18" t="s">
        <v>66</v>
      </c>
      <c r="C11" s="26">
        <v>264</v>
      </c>
      <c r="D11" s="17"/>
    </row>
    <row r="12" spans="1:4" x14ac:dyDescent="0.15">
      <c r="A12" s="10">
        <v>44262</v>
      </c>
      <c r="B12" s="18" t="s">
        <v>69</v>
      </c>
      <c r="C12" s="17"/>
      <c r="D12" s="17">
        <v>60</v>
      </c>
    </row>
    <row r="13" spans="1:4" x14ac:dyDescent="0.15">
      <c r="A13" s="10">
        <v>44262</v>
      </c>
      <c r="B13" s="18" t="s">
        <v>80</v>
      </c>
      <c r="C13" s="17"/>
      <c r="D13" s="17">
        <v>160</v>
      </c>
    </row>
    <row r="14" spans="1:4" x14ac:dyDescent="0.15">
      <c r="A14" s="10">
        <v>44265</v>
      </c>
      <c r="B14" s="18" t="s">
        <v>82</v>
      </c>
      <c r="C14" s="17">
        <v>1.95</v>
      </c>
      <c r="D14" s="17"/>
    </row>
    <row r="15" spans="1:4" x14ac:dyDescent="0.15">
      <c r="A15" s="10">
        <v>44285</v>
      </c>
      <c r="B15" s="18" t="s">
        <v>85</v>
      </c>
      <c r="C15" s="17">
        <v>15</v>
      </c>
      <c r="D15" s="17"/>
    </row>
    <row r="16" spans="1:4" x14ac:dyDescent="0.15">
      <c r="A16" s="10">
        <v>44284</v>
      </c>
      <c r="B16" s="18" t="s">
        <v>86</v>
      </c>
      <c r="C16" s="17"/>
      <c r="D16" s="17">
        <v>25</v>
      </c>
    </row>
    <row r="17" spans="1:4" x14ac:dyDescent="0.15">
      <c r="A17" s="10">
        <v>44284</v>
      </c>
      <c r="B17" s="18" t="s">
        <v>88</v>
      </c>
      <c r="C17" s="17">
        <v>515</v>
      </c>
      <c r="D17" s="17"/>
    </row>
    <row r="18" spans="1:4" x14ac:dyDescent="0.15">
      <c r="A18" s="10">
        <v>44284</v>
      </c>
      <c r="B18" s="18" t="s">
        <v>89</v>
      </c>
      <c r="C18" s="17">
        <v>76.7</v>
      </c>
      <c r="D18" s="17"/>
    </row>
    <row r="19" spans="1:4" x14ac:dyDescent="0.15">
      <c r="A19" s="10">
        <v>44286</v>
      </c>
      <c r="B19" s="18" t="s">
        <v>92</v>
      </c>
      <c r="C19" s="17">
        <v>0.33</v>
      </c>
      <c r="D19" s="17"/>
    </row>
    <row r="20" spans="1:4" x14ac:dyDescent="0.15">
      <c r="A20" s="10">
        <v>44293</v>
      </c>
      <c r="B20" s="18" t="s">
        <v>93</v>
      </c>
      <c r="C20" s="17"/>
      <c r="D20" s="17">
        <v>15</v>
      </c>
    </row>
    <row r="21" spans="1:4" x14ac:dyDescent="0.15">
      <c r="A21" s="10">
        <v>44314</v>
      </c>
      <c r="B21" s="16" t="s">
        <v>95</v>
      </c>
      <c r="C21" s="17"/>
      <c r="D21" s="17">
        <v>20</v>
      </c>
    </row>
    <row r="22" spans="1:4" x14ac:dyDescent="0.15">
      <c r="A22" s="10">
        <v>44314</v>
      </c>
      <c r="B22" s="16" t="s">
        <v>97</v>
      </c>
      <c r="C22" s="17">
        <v>0.26</v>
      </c>
      <c r="D22" s="17"/>
    </row>
    <row r="23" spans="1:4" x14ac:dyDescent="0.15">
      <c r="A23" s="10">
        <v>44320</v>
      </c>
      <c r="B23" s="18" t="s">
        <v>98</v>
      </c>
      <c r="C23" s="17">
        <v>116.6</v>
      </c>
      <c r="D23" s="17"/>
    </row>
    <row r="24" spans="1:4" x14ac:dyDescent="0.15">
      <c r="A24" s="10">
        <v>44321</v>
      </c>
      <c r="B24" s="16" t="s">
        <v>95</v>
      </c>
      <c r="C24" s="17"/>
      <c r="D24" s="17">
        <v>23</v>
      </c>
    </row>
    <row r="25" spans="1:4" x14ac:dyDescent="0.15">
      <c r="A25" s="10">
        <v>44321</v>
      </c>
      <c r="B25" s="16" t="s">
        <v>97</v>
      </c>
      <c r="C25" s="17">
        <v>0.3</v>
      </c>
      <c r="D25" s="17"/>
    </row>
    <row r="26" spans="1:4" x14ac:dyDescent="0.15">
      <c r="A26" s="10">
        <v>44325</v>
      </c>
      <c r="B26" s="18" t="s">
        <v>100</v>
      </c>
      <c r="C26" s="17">
        <v>26</v>
      </c>
      <c r="D26" s="17"/>
    </row>
    <row r="27" spans="1:4" x14ac:dyDescent="0.15">
      <c r="A27" s="10">
        <v>44325</v>
      </c>
      <c r="B27" s="18" t="s">
        <v>101</v>
      </c>
      <c r="C27" s="17">
        <v>15</v>
      </c>
      <c r="D27" s="17"/>
    </row>
    <row r="28" spans="1:4" x14ac:dyDescent="0.15">
      <c r="A28" s="10">
        <v>44325</v>
      </c>
      <c r="B28" s="18" t="s">
        <v>102</v>
      </c>
      <c r="C28" s="17">
        <v>64</v>
      </c>
      <c r="D28" s="17"/>
    </row>
    <row r="29" spans="1:4" x14ac:dyDescent="0.15">
      <c r="A29" s="10">
        <v>44328</v>
      </c>
      <c r="B29" s="16" t="s">
        <v>110</v>
      </c>
      <c r="C29" s="17">
        <v>19.739999999999998</v>
      </c>
      <c r="D29" s="17"/>
    </row>
    <row r="30" spans="1:4" x14ac:dyDescent="0.15">
      <c r="A30" s="10">
        <v>44341</v>
      </c>
      <c r="B30" s="18" t="s">
        <v>113</v>
      </c>
      <c r="C30" s="17">
        <v>54.4</v>
      </c>
      <c r="D30" s="17"/>
    </row>
    <row r="31" spans="1:4" x14ac:dyDescent="0.15">
      <c r="A31" s="10">
        <v>44342</v>
      </c>
      <c r="B31" s="16" t="s">
        <v>95</v>
      </c>
      <c r="C31" s="17"/>
      <c r="D31" s="17">
        <v>14</v>
      </c>
    </row>
    <row r="32" spans="1:4" x14ac:dyDescent="0.15">
      <c r="A32" s="10">
        <v>44342</v>
      </c>
      <c r="B32" s="16" t="s">
        <v>114</v>
      </c>
      <c r="C32" s="17">
        <v>0.18</v>
      </c>
      <c r="D32" s="17"/>
    </row>
    <row r="33" spans="1:4" x14ac:dyDescent="0.15">
      <c r="A33" s="10">
        <v>44350</v>
      </c>
      <c r="B33" s="18" t="s">
        <v>115</v>
      </c>
      <c r="C33" s="17">
        <v>41.45</v>
      </c>
      <c r="D33" s="17"/>
    </row>
    <row r="34" spans="1:4" x14ac:dyDescent="0.15">
      <c r="A34" s="11">
        <v>44357</v>
      </c>
      <c r="B34" s="14" t="s">
        <v>121</v>
      </c>
      <c r="C34" s="17">
        <v>120</v>
      </c>
      <c r="D34" s="17"/>
    </row>
    <row r="35" spans="1:4" x14ac:dyDescent="0.15">
      <c r="A35" s="10">
        <v>44368</v>
      </c>
      <c r="B35" s="18" t="s">
        <v>122</v>
      </c>
      <c r="C35" s="17">
        <v>34.299999999999997</v>
      </c>
      <c r="D35" s="17"/>
    </row>
    <row r="36" spans="1:4" x14ac:dyDescent="0.15">
      <c r="A36" s="10">
        <v>44370</v>
      </c>
      <c r="B36" s="16" t="s">
        <v>95</v>
      </c>
      <c r="C36" s="17"/>
      <c r="D36" s="17">
        <v>32</v>
      </c>
    </row>
    <row r="37" spans="1:4" x14ac:dyDescent="0.15">
      <c r="A37" s="10">
        <v>44370</v>
      </c>
      <c r="B37" s="16" t="s">
        <v>114</v>
      </c>
      <c r="C37" s="17">
        <v>0.41</v>
      </c>
      <c r="D37" s="17"/>
    </row>
    <row r="38" spans="1:4" x14ac:dyDescent="0.15">
      <c r="A38" s="10">
        <v>44373</v>
      </c>
      <c r="B38" s="18" t="s">
        <v>85</v>
      </c>
      <c r="C38" s="17">
        <v>15</v>
      </c>
      <c r="D38" s="17"/>
    </row>
    <row r="39" spans="1:4" x14ac:dyDescent="0.15">
      <c r="A39" s="10">
        <v>44376</v>
      </c>
      <c r="B39" s="18" t="s">
        <v>125</v>
      </c>
      <c r="C39" s="17">
        <v>204</v>
      </c>
      <c r="D39" s="17"/>
    </row>
    <row r="40" spans="1:4" x14ac:dyDescent="0.15">
      <c r="A40" s="10">
        <v>44377</v>
      </c>
      <c r="B40" s="18" t="s">
        <v>130</v>
      </c>
      <c r="C40" s="17">
        <v>0.39</v>
      </c>
      <c r="D40" s="17"/>
    </row>
    <row r="41" spans="1:4" x14ac:dyDescent="0.15">
      <c r="A41" s="10">
        <v>44384</v>
      </c>
      <c r="B41" s="18" t="s">
        <v>131</v>
      </c>
      <c r="C41" s="17"/>
      <c r="D41" s="17">
        <v>54</v>
      </c>
    </row>
    <row r="42" spans="1:4" x14ac:dyDescent="0.15">
      <c r="A42" s="10">
        <v>44384</v>
      </c>
      <c r="B42" t="s">
        <v>114</v>
      </c>
      <c r="C42" s="17">
        <v>0.72</v>
      </c>
      <c r="D42" s="17"/>
    </row>
    <row r="43" spans="1:4" x14ac:dyDescent="0.15">
      <c r="A43" s="10">
        <v>44389</v>
      </c>
      <c r="B43" t="s">
        <v>145</v>
      </c>
      <c r="C43" s="17"/>
      <c r="D43" s="17">
        <v>6</v>
      </c>
    </row>
    <row r="44" spans="1:4" x14ac:dyDescent="0.15">
      <c r="A44" s="10">
        <v>44389</v>
      </c>
      <c r="B44" t="s">
        <v>145</v>
      </c>
      <c r="C44" s="17"/>
      <c r="D44" s="17">
        <v>19</v>
      </c>
    </row>
    <row r="45" spans="1:4" x14ac:dyDescent="0.15">
      <c r="A45" s="10">
        <v>44398</v>
      </c>
      <c r="B45" s="18" t="s">
        <v>131</v>
      </c>
      <c r="C45" s="17"/>
      <c r="D45" s="17">
        <v>69</v>
      </c>
    </row>
    <row r="46" spans="1:4" x14ac:dyDescent="0.15">
      <c r="A46" s="10">
        <v>44398</v>
      </c>
      <c r="B46" t="s">
        <v>114</v>
      </c>
      <c r="C46" s="17">
        <v>0.91</v>
      </c>
      <c r="D46" s="17"/>
    </row>
    <row r="47" spans="1:4" x14ac:dyDescent="0.15">
      <c r="A47" s="11">
        <v>44763</v>
      </c>
      <c r="B47" s="14" t="s">
        <v>127</v>
      </c>
      <c r="C47" s="17"/>
      <c r="D47" s="15">
        <v>1618.2</v>
      </c>
    </row>
    <row r="48" spans="1:4" x14ac:dyDescent="0.15">
      <c r="A48" s="10">
        <v>44407</v>
      </c>
      <c r="B48" t="s">
        <v>115</v>
      </c>
      <c r="C48" s="17">
        <v>70</v>
      </c>
      <c r="D48" s="17"/>
    </row>
    <row r="49" spans="1:4" x14ac:dyDescent="0.15">
      <c r="A49" s="10">
        <v>44422</v>
      </c>
      <c r="B49" t="s">
        <v>134</v>
      </c>
      <c r="C49" s="17">
        <v>48</v>
      </c>
      <c r="D49" s="17"/>
    </row>
    <row r="50" spans="1:4" x14ac:dyDescent="0.15">
      <c r="A50" s="10">
        <v>44424</v>
      </c>
      <c r="B50" s="14" t="s">
        <v>137</v>
      </c>
      <c r="C50" s="17">
        <v>127</v>
      </c>
      <c r="D50" s="17"/>
    </row>
    <row r="51" spans="1:4" x14ac:dyDescent="0.15">
      <c r="A51" s="10">
        <v>44425</v>
      </c>
      <c r="B51" t="s">
        <v>138</v>
      </c>
      <c r="C51" s="17">
        <v>144.19999999999999</v>
      </c>
      <c r="D51" s="17"/>
    </row>
    <row r="52" spans="1:4" x14ac:dyDescent="0.15">
      <c r="A52" s="10">
        <v>44426</v>
      </c>
      <c r="B52" t="s">
        <v>139</v>
      </c>
      <c r="C52" s="17"/>
      <c r="D52" s="17">
        <v>145.1</v>
      </c>
    </row>
    <row r="53" spans="1:4" x14ac:dyDescent="0.15">
      <c r="A53" s="10">
        <v>44426</v>
      </c>
      <c r="B53" t="s">
        <v>141</v>
      </c>
      <c r="C53" s="17">
        <v>1.89</v>
      </c>
      <c r="D53" s="17"/>
    </row>
    <row r="54" spans="1:4" x14ac:dyDescent="0.15">
      <c r="A54" s="10">
        <v>44791</v>
      </c>
      <c r="B54" s="16" t="s">
        <v>175</v>
      </c>
      <c r="C54" s="17"/>
      <c r="D54" s="17">
        <v>346</v>
      </c>
    </row>
    <row r="55" spans="1:4" x14ac:dyDescent="0.15">
      <c r="A55" s="10">
        <v>44433</v>
      </c>
      <c r="B55" t="s">
        <v>142</v>
      </c>
      <c r="C55" s="17">
        <v>29.5</v>
      </c>
      <c r="D55" s="17"/>
    </row>
    <row r="56" spans="1:4" x14ac:dyDescent="0.15">
      <c r="A56" s="10">
        <v>44447</v>
      </c>
      <c r="B56" t="s">
        <v>143</v>
      </c>
      <c r="C56" s="17">
        <v>42</v>
      </c>
      <c r="D56" s="17"/>
    </row>
    <row r="57" spans="1:4" x14ac:dyDescent="0.15">
      <c r="A57" s="10">
        <v>44447</v>
      </c>
      <c r="B57" t="s">
        <v>143</v>
      </c>
      <c r="C57" s="17">
        <v>100.8</v>
      </c>
      <c r="D57" s="17"/>
    </row>
    <row r="58" spans="1:4" x14ac:dyDescent="0.15">
      <c r="A58" s="10">
        <v>44447</v>
      </c>
      <c r="B58" t="s">
        <v>144</v>
      </c>
      <c r="C58" s="17">
        <v>334.7</v>
      </c>
      <c r="D58" s="17"/>
    </row>
    <row r="59" spans="1:4" x14ac:dyDescent="0.15">
      <c r="A59" s="10">
        <v>44818</v>
      </c>
      <c r="B59" t="s">
        <v>176</v>
      </c>
      <c r="C59" s="17">
        <v>153.85</v>
      </c>
      <c r="D59" s="17"/>
    </row>
    <row r="60" spans="1:4" x14ac:dyDescent="0.15">
      <c r="A60" s="10">
        <v>44818</v>
      </c>
      <c r="B60" t="s">
        <v>177</v>
      </c>
      <c r="C60" s="17">
        <v>55.88</v>
      </c>
      <c r="D60" s="17"/>
    </row>
    <row r="61" spans="1:4" x14ac:dyDescent="0.15">
      <c r="A61" s="10">
        <v>44818</v>
      </c>
      <c r="B61" t="s">
        <v>178</v>
      </c>
      <c r="C61" s="17">
        <v>105.41</v>
      </c>
      <c r="D61" s="17"/>
    </row>
    <row r="62" spans="1:4" x14ac:dyDescent="0.15">
      <c r="A62" s="10">
        <v>44818</v>
      </c>
      <c r="B62" t="s">
        <v>179</v>
      </c>
      <c r="C62" s="17">
        <v>119.39</v>
      </c>
      <c r="D62" s="17"/>
    </row>
    <row r="63" spans="1:4" x14ac:dyDescent="0.15">
      <c r="A63" s="10">
        <v>44819</v>
      </c>
      <c r="B63" t="s">
        <v>183</v>
      </c>
      <c r="C63" s="17"/>
      <c r="D63" s="17">
        <v>345</v>
      </c>
    </row>
    <row r="64" spans="1:4" x14ac:dyDescent="0.15">
      <c r="A64" s="10">
        <v>44819</v>
      </c>
      <c r="B64" t="s">
        <v>181</v>
      </c>
      <c r="C64" s="17">
        <v>4.51</v>
      </c>
      <c r="D64" s="17"/>
    </row>
    <row r="65" spans="1:6" x14ac:dyDescent="0.15">
      <c r="A65" s="10">
        <v>44832</v>
      </c>
      <c r="B65" s="18" t="s">
        <v>85</v>
      </c>
      <c r="C65" s="17">
        <v>15</v>
      </c>
      <c r="D65" s="17"/>
    </row>
    <row r="66" spans="1:6" x14ac:dyDescent="0.15">
      <c r="A66" s="10">
        <v>44833</v>
      </c>
      <c r="B66" t="s">
        <v>184</v>
      </c>
      <c r="C66" s="17"/>
      <c r="D66" s="17">
        <v>250</v>
      </c>
    </row>
    <row r="67" spans="1:6" x14ac:dyDescent="0.15">
      <c r="A67" s="10">
        <v>44868</v>
      </c>
      <c r="B67" t="s">
        <v>115</v>
      </c>
      <c r="C67" s="17">
        <v>70</v>
      </c>
      <c r="D67" s="17"/>
    </row>
    <row r="68" spans="1:6" x14ac:dyDescent="0.15">
      <c r="A68" s="10">
        <v>44900</v>
      </c>
      <c r="B68" t="s">
        <v>187</v>
      </c>
      <c r="C68" s="17">
        <v>42</v>
      </c>
      <c r="D68" s="17"/>
    </row>
    <row r="69" spans="1:6" x14ac:dyDescent="0.15">
      <c r="A69" s="10">
        <v>44900</v>
      </c>
      <c r="B69" t="s">
        <v>188</v>
      </c>
      <c r="C69" s="17">
        <v>38</v>
      </c>
      <c r="D69" s="17"/>
    </row>
    <row r="70" spans="1:6" x14ac:dyDescent="0.15">
      <c r="A70" s="10">
        <v>44902</v>
      </c>
      <c r="B70" t="s">
        <v>190</v>
      </c>
      <c r="C70" s="17">
        <v>256</v>
      </c>
      <c r="D70" s="17"/>
    </row>
    <row r="71" spans="1:6" x14ac:dyDescent="0.15">
      <c r="A71" s="10">
        <v>44902</v>
      </c>
      <c r="B71" t="s">
        <v>191</v>
      </c>
      <c r="C71" s="17">
        <v>297.8</v>
      </c>
      <c r="D71" s="17"/>
    </row>
    <row r="72" spans="1:6" x14ac:dyDescent="0.15">
      <c r="A72" s="10">
        <v>44903</v>
      </c>
      <c r="B72" t="s">
        <v>193</v>
      </c>
      <c r="C72" s="17"/>
      <c r="D72" s="17">
        <v>33</v>
      </c>
    </row>
    <row r="73" spans="1:6" x14ac:dyDescent="0.15">
      <c r="A73" s="10">
        <v>44903</v>
      </c>
      <c r="B73" t="s">
        <v>195</v>
      </c>
      <c r="C73" s="17">
        <v>0.44</v>
      </c>
      <c r="D73" s="17"/>
    </row>
    <row r="74" spans="1:6" x14ac:dyDescent="0.15">
      <c r="A74" s="10">
        <v>44903</v>
      </c>
      <c r="B74" t="s">
        <v>198</v>
      </c>
      <c r="C74" s="17"/>
      <c r="D74" s="17">
        <v>202</v>
      </c>
      <c r="F74" s="17"/>
    </row>
    <row r="75" spans="1:6" x14ac:dyDescent="0.15">
      <c r="A75" s="10">
        <v>44924</v>
      </c>
      <c r="B75" t="s">
        <v>197</v>
      </c>
      <c r="C75" s="17">
        <v>15</v>
      </c>
      <c r="D75" s="17"/>
      <c r="F75" s="17"/>
    </row>
    <row r="76" spans="1:6" x14ac:dyDescent="0.15">
      <c r="A76" s="10">
        <v>44925</v>
      </c>
      <c r="B76" s="16" t="s">
        <v>203</v>
      </c>
      <c r="C76" s="17"/>
      <c r="D76" s="17">
        <v>1072.96</v>
      </c>
    </row>
    <row r="77" spans="1:6" x14ac:dyDescent="0.15">
      <c r="A77" t="s">
        <v>8</v>
      </c>
      <c r="B77" s="20"/>
      <c r="C77" s="17">
        <f>SUBTOTAL(109,Produits[Doit])</f>
        <v>4509.2599999999984</v>
      </c>
      <c r="D77" s="17">
        <f>SUBTOTAL(109,Produits[Avoir])</f>
        <v>4509.26</v>
      </c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FCA3-D63F-4887-90D9-CE77B331365C}">
  <sheetPr published="0">
    <pageSetUpPr fitToPage="1"/>
  </sheetPr>
  <dimension ref="A1:D47"/>
  <sheetViews>
    <sheetView zoomScaleNormal="100" workbookViewId="0">
      <selection activeCell="A2" sqref="A2:D47"/>
    </sheetView>
  </sheetViews>
  <sheetFormatPr defaultColWidth="11.4609375" defaultRowHeight="12.75" x14ac:dyDescent="0.15"/>
  <cols>
    <col min="1" max="1" width="8.22265625" bestFit="1" customWidth="1"/>
    <col min="2" max="2" width="54.34375" bestFit="1" customWidth="1"/>
    <col min="3" max="4" width="13.75390625" bestFit="1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B2" s="9" t="s">
        <v>13</v>
      </c>
      <c r="C2" s="4" t="s">
        <v>8</v>
      </c>
      <c r="D2" s="3">
        <f>Twint[[#Totals],[Avoir]]-Twint[[#Totals],[Doit]]</f>
        <v>0</v>
      </c>
    </row>
    <row r="3" spans="1:4" ht="18" customHeight="1" x14ac:dyDescent="0.15">
      <c r="A3" s="5"/>
      <c r="C3" s="3">
        <f>Twint[[#Totals],[Doit]]</f>
        <v>2454.1000000000004</v>
      </c>
      <c r="D3" s="3">
        <f>Twint[[#Totals],[Avoir]]</f>
        <v>2454.1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0">
        <v>44262</v>
      </c>
      <c r="B6" s="16" t="s">
        <v>67</v>
      </c>
      <c r="C6" s="17"/>
      <c r="D6" s="17">
        <v>60</v>
      </c>
    </row>
    <row r="7" spans="1:4" x14ac:dyDescent="0.15">
      <c r="A7" s="10">
        <v>44262</v>
      </c>
      <c r="B7" s="18" t="s">
        <v>68</v>
      </c>
      <c r="C7" s="17"/>
      <c r="D7" s="17">
        <v>30</v>
      </c>
    </row>
    <row r="8" spans="1:4" x14ac:dyDescent="0.15">
      <c r="A8" s="10">
        <v>44262</v>
      </c>
      <c r="B8" s="18" t="s">
        <v>69</v>
      </c>
      <c r="C8" s="17"/>
      <c r="D8" s="17">
        <v>60</v>
      </c>
    </row>
    <row r="9" spans="1:4" x14ac:dyDescent="0.15">
      <c r="A9" s="10">
        <v>44265</v>
      </c>
      <c r="B9" s="18" t="s">
        <v>81</v>
      </c>
      <c r="C9" s="17">
        <v>148.05000000000001</v>
      </c>
      <c r="D9" s="17"/>
    </row>
    <row r="10" spans="1:4" x14ac:dyDescent="0.15">
      <c r="A10" s="10">
        <v>44265</v>
      </c>
      <c r="B10" s="18" t="s">
        <v>82</v>
      </c>
      <c r="C10" s="17">
        <v>1.95</v>
      </c>
      <c r="D10" s="17"/>
    </row>
    <row r="11" spans="1:4" x14ac:dyDescent="0.15">
      <c r="A11" s="10">
        <v>44284</v>
      </c>
      <c r="B11" s="18" t="s">
        <v>86</v>
      </c>
      <c r="C11" s="17"/>
      <c r="D11" s="17">
        <v>25</v>
      </c>
    </row>
    <row r="12" spans="1:4" x14ac:dyDescent="0.15">
      <c r="A12" s="10">
        <v>44286</v>
      </c>
      <c r="B12" s="18" t="s">
        <v>91</v>
      </c>
      <c r="C12" s="26">
        <v>24.67</v>
      </c>
      <c r="D12" s="17"/>
    </row>
    <row r="13" spans="1:4" x14ac:dyDescent="0.15">
      <c r="A13" s="10">
        <v>44286</v>
      </c>
      <c r="B13" s="18" t="s">
        <v>92</v>
      </c>
      <c r="C13" s="17">
        <v>0.33</v>
      </c>
      <c r="D13" s="17"/>
    </row>
    <row r="14" spans="1:4" x14ac:dyDescent="0.15">
      <c r="A14" s="10">
        <v>44314</v>
      </c>
      <c r="B14" s="16" t="s">
        <v>95</v>
      </c>
      <c r="C14" s="17"/>
      <c r="D14" s="17">
        <v>20</v>
      </c>
    </row>
    <row r="15" spans="1:4" x14ac:dyDescent="0.15">
      <c r="A15" s="10">
        <v>44314</v>
      </c>
      <c r="B15" s="16" t="s">
        <v>96</v>
      </c>
      <c r="C15" s="17">
        <v>19.739999999999998</v>
      </c>
      <c r="D15" s="17"/>
    </row>
    <row r="16" spans="1:4" x14ac:dyDescent="0.15">
      <c r="A16" s="10">
        <v>44314</v>
      </c>
      <c r="B16" s="16" t="s">
        <v>97</v>
      </c>
      <c r="C16" s="17">
        <v>0.26</v>
      </c>
      <c r="D16" s="17"/>
    </row>
    <row r="17" spans="1:4" x14ac:dyDescent="0.15">
      <c r="A17" s="10">
        <v>44321</v>
      </c>
      <c r="B17" s="16" t="s">
        <v>95</v>
      </c>
      <c r="C17" s="17"/>
      <c r="D17" s="17">
        <v>23</v>
      </c>
    </row>
    <row r="18" spans="1:4" x14ac:dyDescent="0.15">
      <c r="A18" s="10">
        <v>44321</v>
      </c>
      <c r="B18" s="16" t="s">
        <v>96</v>
      </c>
      <c r="C18" s="17">
        <v>22.7</v>
      </c>
      <c r="D18" s="17"/>
    </row>
    <row r="19" spans="1:4" x14ac:dyDescent="0.15">
      <c r="A19" s="10">
        <v>44321</v>
      </c>
      <c r="B19" s="16" t="s">
        <v>97</v>
      </c>
      <c r="C19" s="17">
        <v>0.3</v>
      </c>
      <c r="D19" s="17"/>
    </row>
    <row r="20" spans="1:4" x14ac:dyDescent="0.15">
      <c r="A20" s="10">
        <v>44328</v>
      </c>
      <c r="B20" s="16" t="s">
        <v>111</v>
      </c>
      <c r="C20" s="17"/>
      <c r="D20" s="17">
        <v>1514</v>
      </c>
    </row>
    <row r="21" spans="1:4" x14ac:dyDescent="0.15">
      <c r="A21" s="10">
        <v>44328</v>
      </c>
      <c r="B21" s="16" t="s">
        <v>109</v>
      </c>
      <c r="C21" s="17">
        <v>1494.26</v>
      </c>
      <c r="D21" s="17"/>
    </row>
    <row r="22" spans="1:4" x14ac:dyDescent="0.15">
      <c r="A22" s="10">
        <v>44328</v>
      </c>
      <c r="B22" s="16" t="s">
        <v>110</v>
      </c>
      <c r="C22" s="17">
        <v>19.739999999999998</v>
      </c>
      <c r="D22" s="17"/>
    </row>
    <row r="23" spans="1:4" x14ac:dyDescent="0.15">
      <c r="A23" s="10">
        <v>44342</v>
      </c>
      <c r="B23" s="16" t="s">
        <v>95</v>
      </c>
      <c r="C23" s="17"/>
      <c r="D23" s="17">
        <v>14</v>
      </c>
    </row>
    <row r="24" spans="1:4" x14ac:dyDescent="0.15">
      <c r="A24" s="10">
        <v>44342</v>
      </c>
      <c r="B24" s="16" t="s">
        <v>96</v>
      </c>
      <c r="C24" s="17">
        <v>13.82</v>
      </c>
      <c r="D24" s="17"/>
    </row>
    <row r="25" spans="1:4" x14ac:dyDescent="0.15">
      <c r="A25" s="10">
        <v>44342</v>
      </c>
      <c r="B25" s="16" t="s">
        <v>114</v>
      </c>
      <c r="C25" s="17">
        <v>0.18</v>
      </c>
      <c r="D25" s="17"/>
    </row>
    <row r="26" spans="1:4" x14ac:dyDescent="0.15">
      <c r="A26" s="10">
        <v>44370</v>
      </c>
      <c r="B26" s="16" t="s">
        <v>95</v>
      </c>
      <c r="C26" s="17"/>
      <c r="D26" s="17">
        <v>32</v>
      </c>
    </row>
    <row r="27" spans="1:4" x14ac:dyDescent="0.15">
      <c r="A27" s="10">
        <v>44370</v>
      </c>
      <c r="B27" s="16" t="s">
        <v>96</v>
      </c>
      <c r="C27" s="17">
        <v>31.59</v>
      </c>
      <c r="D27" s="17"/>
    </row>
    <row r="28" spans="1:4" x14ac:dyDescent="0.15">
      <c r="A28" s="10">
        <v>44370</v>
      </c>
      <c r="B28" s="16" t="s">
        <v>114</v>
      </c>
      <c r="C28" s="17">
        <v>0.41</v>
      </c>
      <c r="D28" s="17"/>
    </row>
    <row r="29" spans="1:4" x14ac:dyDescent="0.15">
      <c r="A29" s="10">
        <v>44377</v>
      </c>
      <c r="B29" s="18" t="s">
        <v>128</v>
      </c>
      <c r="C29" s="17"/>
      <c r="D29" s="17">
        <v>30</v>
      </c>
    </row>
    <row r="30" spans="1:4" x14ac:dyDescent="0.15">
      <c r="A30" s="10">
        <v>44377</v>
      </c>
      <c r="B30" s="18" t="s">
        <v>129</v>
      </c>
      <c r="C30" s="17">
        <v>29.61</v>
      </c>
      <c r="D30" s="17"/>
    </row>
    <row r="31" spans="1:4" x14ac:dyDescent="0.15">
      <c r="A31" s="10">
        <v>44377</v>
      </c>
      <c r="B31" s="18" t="s">
        <v>130</v>
      </c>
      <c r="C31" s="17">
        <v>0.39</v>
      </c>
      <c r="D31" s="17"/>
    </row>
    <row r="32" spans="1:4" x14ac:dyDescent="0.15">
      <c r="A32" s="10">
        <v>44384</v>
      </c>
      <c r="B32" s="18" t="s">
        <v>131</v>
      </c>
      <c r="C32" s="17"/>
      <c r="D32" s="17">
        <v>54</v>
      </c>
    </row>
    <row r="33" spans="1:4" x14ac:dyDescent="0.15">
      <c r="A33" s="10">
        <v>44384</v>
      </c>
      <c r="B33" s="18" t="s">
        <v>132</v>
      </c>
      <c r="C33" s="17">
        <v>53.28</v>
      </c>
      <c r="D33" s="17"/>
    </row>
    <row r="34" spans="1:4" x14ac:dyDescent="0.15">
      <c r="A34" s="10">
        <v>44384</v>
      </c>
      <c r="B34" t="s">
        <v>114</v>
      </c>
      <c r="C34" s="17">
        <v>0.72</v>
      </c>
      <c r="D34" s="17"/>
    </row>
    <row r="35" spans="1:4" x14ac:dyDescent="0.15">
      <c r="A35" s="10">
        <v>44398</v>
      </c>
      <c r="B35" s="18" t="s">
        <v>131</v>
      </c>
      <c r="C35" s="17"/>
      <c r="D35" s="17">
        <v>69</v>
      </c>
    </row>
    <row r="36" spans="1:4" x14ac:dyDescent="0.15">
      <c r="A36" s="10">
        <v>44398</v>
      </c>
      <c r="B36" s="18" t="s">
        <v>132</v>
      </c>
      <c r="C36" s="17">
        <v>68.09</v>
      </c>
      <c r="D36" s="17"/>
    </row>
    <row r="37" spans="1:4" x14ac:dyDescent="0.15">
      <c r="A37" s="10">
        <v>44398</v>
      </c>
      <c r="B37" t="s">
        <v>114</v>
      </c>
      <c r="C37" s="17">
        <v>0.91</v>
      </c>
      <c r="D37" s="17"/>
    </row>
    <row r="38" spans="1:4" x14ac:dyDescent="0.15">
      <c r="A38" s="10">
        <v>44426</v>
      </c>
      <c r="B38" t="s">
        <v>139</v>
      </c>
      <c r="C38" s="17"/>
      <c r="D38" s="17">
        <v>145.1</v>
      </c>
    </row>
    <row r="39" spans="1:4" x14ac:dyDescent="0.15">
      <c r="A39" s="10">
        <v>44426</v>
      </c>
      <c r="B39" t="s">
        <v>140</v>
      </c>
      <c r="C39" s="17">
        <v>143.21</v>
      </c>
      <c r="D39" s="17"/>
    </row>
    <row r="40" spans="1:4" x14ac:dyDescent="0.15">
      <c r="A40" s="10">
        <v>44426</v>
      </c>
      <c r="B40" t="s">
        <v>141</v>
      </c>
      <c r="C40" s="17">
        <v>1.89</v>
      </c>
      <c r="D40" s="17"/>
    </row>
    <row r="41" spans="1:4" x14ac:dyDescent="0.15">
      <c r="A41" s="10">
        <v>44819</v>
      </c>
      <c r="B41" t="s">
        <v>183</v>
      </c>
      <c r="C41" s="17"/>
      <c r="D41" s="17">
        <v>345</v>
      </c>
    </row>
    <row r="42" spans="1:4" x14ac:dyDescent="0.15">
      <c r="A42" s="10">
        <v>44819</v>
      </c>
      <c r="B42" t="s">
        <v>182</v>
      </c>
      <c r="C42" s="17">
        <v>340.49</v>
      </c>
      <c r="D42" s="17"/>
    </row>
    <row r="43" spans="1:4" x14ac:dyDescent="0.15">
      <c r="A43" s="10">
        <v>44819</v>
      </c>
      <c r="B43" t="s">
        <v>181</v>
      </c>
      <c r="C43" s="17">
        <v>4.51</v>
      </c>
      <c r="D43" s="17"/>
    </row>
    <row r="44" spans="1:4" x14ac:dyDescent="0.15">
      <c r="A44" s="10">
        <v>44903</v>
      </c>
      <c r="B44" t="s">
        <v>193</v>
      </c>
      <c r="C44" s="17"/>
      <c r="D44" s="17">
        <v>33</v>
      </c>
    </row>
    <row r="45" spans="1:4" x14ac:dyDescent="0.15">
      <c r="A45" s="10">
        <v>44903</v>
      </c>
      <c r="B45" t="s">
        <v>194</v>
      </c>
      <c r="C45" s="17">
        <v>32.56</v>
      </c>
      <c r="D45" s="17"/>
    </row>
    <row r="46" spans="1:4" x14ac:dyDescent="0.15">
      <c r="A46" s="10">
        <v>44903</v>
      </c>
      <c r="B46" t="s">
        <v>195</v>
      </c>
      <c r="C46" s="17">
        <v>0.44</v>
      </c>
      <c r="D46" s="17"/>
    </row>
    <row r="47" spans="1:4" x14ac:dyDescent="0.15">
      <c r="A47" s="1" t="s">
        <v>8</v>
      </c>
      <c r="B47" s="20"/>
      <c r="C47" s="17">
        <f>SUBTOTAL(109,Twint[Doit])</f>
        <v>2454.1000000000004</v>
      </c>
      <c r="D47" s="17">
        <f>SUBTOTAL(109,Twint[Avoir])</f>
        <v>2454.1</v>
      </c>
    </row>
  </sheetData>
  <pageMargins left="0.70866141732283472" right="0.70866141732283472" top="0.74803149606299213" bottom="0.74803149606299213" header="0.31496062992125984" footer="0.31496062992125984"/>
  <pageSetup paperSize="9" scale="99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CD06-8679-47F8-94A7-E3DA46D9D676}">
  <sheetPr published="0">
    <pageSetUpPr fitToPage="1"/>
  </sheetPr>
  <dimension ref="A1:D18"/>
  <sheetViews>
    <sheetView zoomScaleNormal="100" workbookViewId="0">
      <selection activeCell="A2" sqref="A2:D18"/>
    </sheetView>
  </sheetViews>
  <sheetFormatPr defaultColWidth="11.4609375" defaultRowHeight="12.75" x14ac:dyDescent="0.15"/>
  <cols>
    <col min="1" max="1" width="8.22265625" bestFit="1" customWidth="1"/>
    <col min="2" max="2" width="46.25390625" bestFit="1" customWidth="1"/>
    <col min="3" max="4" width="13.75390625" bestFit="1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B2" s="9" t="s">
        <v>18</v>
      </c>
      <c r="C2" s="4" t="s">
        <v>8</v>
      </c>
      <c r="D2" s="3">
        <f>Caissier[[#Totals],[Avoir]]-Caissier[[#Totals],[Doit]]</f>
        <v>0</v>
      </c>
    </row>
    <row r="3" spans="1:4" ht="18" customHeight="1" x14ac:dyDescent="0.15">
      <c r="A3" s="5"/>
      <c r="C3" s="3">
        <f>Caissier[[#Totals],[Doit]]</f>
        <v>417</v>
      </c>
      <c r="D3" s="3">
        <f>Caissier[[#Totals],[Avoir]]</f>
        <v>417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0">
        <v>44231</v>
      </c>
      <c r="B6" s="18" t="s">
        <v>38</v>
      </c>
      <c r="C6" s="17">
        <v>30</v>
      </c>
      <c r="D6" s="15"/>
    </row>
    <row r="7" spans="1:4" x14ac:dyDescent="0.15">
      <c r="A7" s="10">
        <v>44231</v>
      </c>
      <c r="B7" s="18" t="s">
        <v>39</v>
      </c>
      <c r="C7" s="17">
        <v>30</v>
      </c>
      <c r="D7" s="17"/>
    </row>
    <row r="8" spans="1:4" x14ac:dyDescent="0.15">
      <c r="A8" s="10">
        <v>44233</v>
      </c>
      <c r="B8" s="18" t="s">
        <v>40</v>
      </c>
      <c r="C8" s="17">
        <v>30</v>
      </c>
      <c r="D8" s="17"/>
    </row>
    <row r="9" spans="1:4" x14ac:dyDescent="0.15">
      <c r="A9" s="10">
        <v>44262</v>
      </c>
      <c r="B9" s="18" t="s">
        <v>70</v>
      </c>
      <c r="C9" s="17">
        <v>30</v>
      </c>
      <c r="D9" s="17"/>
    </row>
    <row r="10" spans="1:4" x14ac:dyDescent="0.15">
      <c r="A10" s="10">
        <v>44284</v>
      </c>
      <c r="B10" s="18" t="s">
        <v>89</v>
      </c>
      <c r="C10" s="17"/>
      <c r="D10" s="17">
        <v>76.7</v>
      </c>
    </row>
    <row r="11" spans="1:4" x14ac:dyDescent="0.15">
      <c r="A11" s="10">
        <v>44332</v>
      </c>
      <c r="B11" s="18" t="s">
        <v>120</v>
      </c>
      <c r="C11" s="17">
        <v>95</v>
      </c>
      <c r="D11" s="17"/>
    </row>
    <row r="12" spans="1:4" x14ac:dyDescent="0.15">
      <c r="A12" s="10">
        <v>44368</v>
      </c>
      <c r="B12" s="18" t="s">
        <v>124</v>
      </c>
      <c r="C12" s="17">
        <v>117</v>
      </c>
      <c r="D12" s="17"/>
    </row>
    <row r="13" spans="1:4" x14ac:dyDescent="0.15">
      <c r="A13" s="10">
        <v>44389</v>
      </c>
      <c r="B13" t="s">
        <v>145</v>
      </c>
      <c r="C13" s="17">
        <v>6</v>
      </c>
      <c r="D13" s="17"/>
    </row>
    <row r="14" spans="1:4" x14ac:dyDescent="0.15">
      <c r="A14" s="10">
        <v>44389</v>
      </c>
      <c r="B14" t="s">
        <v>145</v>
      </c>
      <c r="C14" s="17">
        <v>19</v>
      </c>
      <c r="D14" s="17"/>
    </row>
    <row r="15" spans="1:4" x14ac:dyDescent="0.15">
      <c r="A15" s="10">
        <v>44925</v>
      </c>
      <c r="B15" s="16" t="s">
        <v>199</v>
      </c>
      <c r="C15" s="17">
        <v>30</v>
      </c>
      <c r="D15" s="17"/>
    </row>
    <row r="16" spans="1:4" x14ac:dyDescent="0.15">
      <c r="A16" s="10">
        <v>44925</v>
      </c>
      <c r="B16" s="16" t="s">
        <v>200</v>
      </c>
      <c r="C16" s="17">
        <v>30</v>
      </c>
      <c r="D16" s="17"/>
    </row>
    <row r="17" spans="1:4" x14ac:dyDescent="0.15">
      <c r="A17" s="10">
        <v>44925</v>
      </c>
      <c r="B17" s="16" t="s">
        <v>201</v>
      </c>
      <c r="C17" s="17"/>
      <c r="D17" s="17">
        <v>340.3</v>
      </c>
    </row>
    <row r="18" spans="1:4" x14ac:dyDescent="0.15">
      <c r="A18" s="1" t="s">
        <v>8</v>
      </c>
      <c r="B18" s="20"/>
      <c r="C18" s="17">
        <f>SUBTOTAL(109,Caissier[Doit])</f>
        <v>417</v>
      </c>
      <c r="D18" s="17">
        <f>SUBTOTAL(109,Caissier[Avoir])</f>
        <v>417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5373-E9B1-47AB-A456-F10EF27DEA59}">
  <sheetPr published="0">
    <pageSetUpPr fitToPage="1"/>
  </sheetPr>
  <dimension ref="A1:F23"/>
  <sheetViews>
    <sheetView tabSelected="1" zoomScaleNormal="100" workbookViewId="0">
      <selection activeCell="A2" sqref="A2:D23"/>
    </sheetView>
  </sheetViews>
  <sheetFormatPr defaultColWidth="11.4609375" defaultRowHeight="12.75" x14ac:dyDescent="0.15"/>
  <cols>
    <col min="1" max="1" width="8.22265625" bestFit="1" customWidth="1"/>
    <col min="2" max="2" width="43.421875" bestFit="1" customWidth="1"/>
    <col min="3" max="4" width="13.75390625" bestFit="1" customWidth="1"/>
    <col min="6" max="6" width="12.13671875" bestFit="1" customWidth="1"/>
  </cols>
  <sheetData>
    <row r="1" spans="1:6" ht="12" customHeight="1" x14ac:dyDescent="0.15">
      <c r="A1" s="8"/>
      <c r="B1" s="8"/>
      <c r="C1" s="8"/>
      <c r="D1" s="8"/>
    </row>
    <row r="2" spans="1:6" ht="18" customHeight="1" x14ac:dyDescent="0.2">
      <c r="B2" s="9" t="s">
        <v>12</v>
      </c>
      <c r="C2" s="4" t="s">
        <v>8</v>
      </c>
      <c r="D2" s="3">
        <f>D3-C3</f>
        <v>0</v>
      </c>
    </row>
    <row r="3" spans="1:6" ht="18" customHeight="1" x14ac:dyDescent="0.15">
      <c r="A3" s="5"/>
      <c r="C3" s="3">
        <f>Marché[[#Totals],[Doit]]</f>
        <v>4678.25</v>
      </c>
      <c r="D3" s="3">
        <f>Marché[[#Totals],[Avoir]]</f>
        <v>4678.25</v>
      </c>
    </row>
    <row r="4" spans="1:6" ht="12" customHeight="1" x14ac:dyDescent="0.15">
      <c r="A4" s="5"/>
      <c r="C4" s="2"/>
      <c r="D4" s="2"/>
    </row>
    <row r="5" spans="1:6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6" x14ac:dyDescent="0.15">
      <c r="A6" s="10">
        <v>44325</v>
      </c>
      <c r="B6" s="18" t="s">
        <v>103</v>
      </c>
      <c r="C6" s="17">
        <v>30</v>
      </c>
      <c r="D6" s="17"/>
    </row>
    <row r="7" spans="1:6" x14ac:dyDescent="0.15">
      <c r="A7" s="10">
        <v>44325</v>
      </c>
      <c r="B7" s="18" t="s">
        <v>104</v>
      </c>
      <c r="C7" s="17">
        <v>51</v>
      </c>
      <c r="D7" s="17"/>
    </row>
    <row r="8" spans="1:6" x14ac:dyDescent="0.15">
      <c r="A8" s="10">
        <v>44325</v>
      </c>
      <c r="B8" s="18" t="s">
        <v>105</v>
      </c>
      <c r="C8" s="17">
        <v>12.5</v>
      </c>
      <c r="D8" s="17"/>
    </row>
    <row r="9" spans="1:6" x14ac:dyDescent="0.15">
      <c r="A9" s="10">
        <v>44325</v>
      </c>
      <c r="B9" s="18" t="s">
        <v>106</v>
      </c>
      <c r="C9" s="17">
        <v>120</v>
      </c>
      <c r="D9" s="15"/>
    </row>
    <row r="10" spans="1:6" x14ac:dyDescent="0.15">
      <c r="A10" s="10">
        <v>44325</v>
      </c>
      <c r="B10" s="18" t="s">
        <v>107</v>
      </c>
      <c r="C10" s="17">
        <v>265.25</v>
      </c>
      <c r="D10" s="15"/>
    </row>
    <row r="11" spans="1:6" x14ac:dyDescent="0.15">
      <c r="A11" s="10">
        <v>44328</v>
      </c>
      <c r="B11" s="16" t="s">
        <v>111</v>
      </c>
      <c r="C11" s="17"/>
      <c r="D11" s="17">
        <v>1514</v>
      </c>
      <c r="F11" s="17"/>
    </row>
    <row r="12" spans="1:6" x14ac:dyDescent="0.15">
      <c r="A12" s="10">
        <v>44330</v>
      </c>
      <c r="B12" s="18" t="s">
        <v>112</v>
      </c>
      <c r="C12" s="17"/>
      <c r="D12" s="17">
        <v>2460.75</v>
      </c>
    </row>
    <row r="13" spans="1:6" x14ac:dyDescent="0.15">
      <c r="A13" s="10">
        <v>44332</v>
      </c>
      <c r="B13" s="18" t="s">
        <v>120</v>
      </c>
      <c r="C13" s="17"/>
      <c r="D13" s="17">
        <v>95</v>
      </c>
    </row>
    <row r="14" spans="1:6" x14ac:dyDescent="0.15">
      <c r="A14" s="10">
        <v>44350</v>
      </c>
      <c r="B14" s="18" t="s">
        <v>116</v>
      </c>
      <c r="C14" s="17">
        <v>852.6</v>
      </c>
      <c r="D14" s="17"/>
    </row>
    <row r="15" spans="1:6" x14ac:dyDescent="0.15">
      <c r="A15" s="10">
        <v>44350</v>
      </c>
      <c r="B15" s="18" t="s">
        <v>117</v>
      </c>
      <c r="C15" s="17">
        <v>318.7</v>
      </c>
      <c r="D15" s="15"/>
    </row>
    <row r="16" spans="1:6" x14ac:dyDescent="0.15">
      <c r="A16" s="10">
        <v>44350</v>
      </c>
      <c r="B16" s="18" t="s">
        <v>118</v>
      </c>
      <c r="C16" s="17">
        <v>50</v>
      </c>
      <c r="D16" s="15"/>
    </row>
    <row r="17" spans="1:4" x14ac:dyDescent="0.15">
      <c r="A17" s="10">
        <v>44357</v>
      </c>
      <c r="B17" s="18" t="s">
        <v>119</v>
      </c>
      <c r="C17" s="17">
        <v>1360</v>
      </c>
      <c r="D17" s="15"/>
    </row>
    <row r="18" spans="1:4" x14ac:dyDescent="0.15">
      <c r="A18" s="11">
        <v>44357</v>
      </c>
      <c r="B18" s="14" t="s">
        <v>121</v>
      </c>
      <c r="C18" s="15"/>
      <c r="D18" s="15">
        <v>120</v>
      </c>
    </row>
    <row r="19" spans="1:4" x14ac:dyDescent="0.15">
      <c r="A19" s="10">
        <v>44368</v>
      </c>
      <c r="B19" s="18" t="s">
        <v>124</v>
      </c>
      <c r="C19" s="17"/>
      <c r="D19" s="17">
        <v>117</v>
      </c>
    </row>
    <row r="20" spans="1:4" x14ac:dyDescent="0.15">
      <c r="A20" s="10">
        <v>44369</v>
      </c>
      <c r="B20" s="18" t="s">
        <v>123</v>
      </c>
      <c r="C20" s="17"/>
      <c r="D20" s="17">
        <v>211</v>
      </c>
    </row>
    <row r="21" spans="1:4" x14ac:dyDescent="0.15">
      <c r="A21" s="11">
        <v>44398</v>
      </c>
      <c r="B21" s="14" t="s">
        <v>126</v>
      </c>
      <c r="C21" s="15"/>
      <c r="D21" s="15">
        <v>160.5</v>
      </c>
    </row>
    <row r="22" spans="1:4" x14ac:dyDescent="0.15">
      <c r="A22" s="11">
        <v>44763</v>
      </c>
      <c r="B22" s="14" t="s">
        <v>127</v>
      </c>
      <c r="C22" s="15">
        <v>1618.2</v>
      </c>
      <c r="D22" s="15"/>
    </row>
    <row r="23" spans="1:4" x14ac:dyDescent="0.15">
      <c r="A23" t="s">
        <v>8</v>
      </c>
      <c r="B23" s="5"/>
      <c r="C23" s="17">
        <f>SUBTOTAL(109,Marché[Doit])</f>
        <v>4678.25</v>
      </c>
      <c r="D23" s="17">
        <f>SUBTOTAL(109,Marché[Avoir])</f>
        <v>4678.25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verticalDpi="597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CC0-8900-43D8-B5D7-32B930873356}">
  <sheetPr published="0">
    <pageSetUpPr fitToPage="1"/>
  </sheetPr>
  <dimension ref="A1:D8"/>
  <sheetViews>
    <sheetView zoomScaleNormal="100" workbookViewId="0">
      <selection activeCell="A6" sqref="A6:XFD7"/>
    </sheetView>
  </sheetViews>
  <sheetFormatPr defaultColWidth="11.4609375" defaultRowHeight="12.75" x14ac:dyDescent="0.15"/>
  <cols>
    <col min="1" max="1" width="9.84375" bestFit="1" customWidth="1"/>
    <col min="2" max="2" width="45.71484375" customWidth="1"/>
    <col min="3" max="4" width="13.75390625" bestFit="1" customWidth="1"/>
  </cols>
  <sheetData>
    <row r="1" spans="1:4" ht="12" customHeight="1" x14ac:dyDescent="0.15">
      <c r="A1" s="8"/>
      <c r="B1" s="8"/>
      <c r="C1" s="8"/>
      <c r="D1" s="8"/>
    </row>
    <row r="2" spans="1:4" ht="18" customHeight="1" x14ac:dyDescent="0.2">
      <c r="B2" s="9" t="s">
        <v>20</v>
      </c>
      <c r="C2" s="4" t="s">
        <v>8</v>
      </c>
      <c r="D2" s="3">
        <f>PassifsTransitoires[[#Totals],[Avoir]] - PassifsTransitoires[[#Totals],[Doit]]</f>
        <v>0</v>
      </c>
    </row>
    <row r="3" spans="1:4" ht="18" customHeight="1" x14ac:dyDescent="0.15">
      <c r="A3" s="5"/>
      <c r="C3" s="3">
        <f>PassifsTransitoires[[#Totals],[Doit]]</f>
        <v>0</v>
      </c>
      <c r="D3" s="3">
        <f>PassifsTransitoires[[#Totals],[Avoir]]</f>
        <v>0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0"/>
      <c r="B6" s="16"/>
      <c r="C6" s="17"/>
      <c r="D6" s="17"/>
    </row>
    <row r="7" spans="1:4" x14ac:dyDescent="0.15">
      <c r="A7" s="10"/>
      <c r="B7" s="18"/>
      <c r="C7" s="17"/>
      <c r="D7" s="17"/>
    </row>
    <row r="8" spans="1:4" x14ac:dyDescent="0.15">
      <c r="A8" t="s">
        <v>8</v>
      </c>
      <c r="B8" s="20"/>
      <c r="C8" s="17">
        <f>SUBTOTAL(109,PassifsTransitoires[Doit])</f>
        <v>0</v>
      </c>
      <c r="D8" s="17">
        <f>SUBTOTAL(109,PassifsTransitoires[Avoir])</f>
        <v>0</v>
      </c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pageSetUpPr fitToPage="1"/>
  </sheetPr>
  <dimension ref="A1:F9"/>
  <sheetViews>
    <sheetView zoomScaleNormal="100" workbookViewId="0">
      <selection activeCell="A2" sqref="A2:D9"/>
    </sheetView>
  </sheetViews>
  <sheetFormatPr defaultColWidth="11.4609375" defaultRowHeight="12.75" x14ac:dyDescent="0.15"/>
  <cols>
    <col min="1" max="1" width="8.22265625" bestFit="1" customWidth="1"/>
    <col min="2" max="2" width="45.71484375" customWidth="1"/>
    <col min="3" max="4" width="13.75390625" bestFit="1" customWidth="1"/>
    <col min="6" max="6" width="13.75390625" bestFit="1" customWidth="1"/>
  </cols>
  <sheetData>
    <row r="1" spans="1:6" ht="12" customHeight="1" x14ac:dyDescent="0.15">
      <c r="A1" s="8"/>
      <c r="B1" s="8"/>
      <c r="C1" s="8"/>
      <c r="D1" s="8"/>
    </row>
    <row r="2" spans="1:6" ht="18" customHeight="1" x14ac:dyDescent="0.2">
      <c r="B2" s="9" t="s">
        <v>2</v>
      </c>
      <c r="C2" s="4" t="s">
        <v>8</v>
      </c>
      <c r="D2" s="3">
        <f>Profits[[#Totals],[Avoir]]-Profits[[#Totals],[Doit]]</f>
        <v>0</v>
      </c>
    </row>
    <row r="3" spans="1:6" ht="18" customHeight="1" x14ac:dyDescent="0.15">
      <c r="A3" s="5"/>
      <c r="C3" s="3">
        <f>Profits[[#Totals],[Doit]]</f>
        <v>1410</v>
      </c>
      <c r="D3" s="3">
        <f>Profits[[#Totals],[Avoir]]</f>
        <v>1410</v>
      </c>
    </row>
    <row r="4" spans="1:6" ht="12" customHeight="1" x14ac:dyDescent="0.15">
      <c r="A4" s="5"/>
      <c r="C4" s="2"/>
      <c r="D4" s="2"/>
    </row>
    <row r="5" spans="1:6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6" x14ac:dyDescent="0.15">
      <c r="A6" s="10">
        <v>44925</v>
      </c>
      <c r="B6" s="16" t="s">
        <v>202</v>
      </c>
      <c r="C6" s="17"/>
      <c r="D6" s="17">
        <v>1410</v>
      </c>
    </row>
    <row r="7" spans="1:6" x14ac:dyDescent="0.15">
      <c r="A7" s="10">
        <v>44925</v>
      </c>
      <c r="B7" s="16" t="s">
        <v>203</v>
      </c>
      <c r="C7" s="17">
        <v>1072.96</v>
      </c>
      <c r="D7" s="17"/>
    </row>
    <row r="8" spans="1:6" x14ac:dyDescent="0.15">
      <c r="A8" s="10">
        <v>44925</v>
      </c>
      <c r="B8" s="16" t="s">
        <v>204</v>
      </c>
      <c r="C8" s="17">
        <v>337.04</v>
      </c>
      <c r="D8" s="17"/>
      <c r="F8" s="17"/>
    </row>
    <row r="9" spans="1:6" x14ac:dyDescent="0.15">
      <c r="A9" s="1" t="s">
        <v>8</v>
      </c>
      <c r="B9" s="20"/>
      <c r="C9" s="17">
        <f>SUBTOTAL(109,Profits[Doit])</f>
        <v>1410</v>
      </c>
      <c r="D9" s="17">
        <f>SUBTOTAL(109,Profits[Avoir])</f>
        <v>1410</v>
      </c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D8"/>
  <sheetViews>
    <sheetView zoomScaleNormal="100" workbookViewId="0">
      <selection activeCell="A2" sqref="A2:D8"/>
    </sheetView>
  </sheetViews>
  <sheetFormatPr defaultColWidth="11.4609375" defaultRowHeight="12.75" x14ac:dyDescent="0.15"/>
  <cols>
    <col min="1" max="1" width="8.22265625" bestFit="1" customWidth="1"/>
    <col min="2" max="2" width="45.71484375" customWidth="1"/>
    <col min="3" max="3" width="17.125" customWidth="1"/>
    <col min="4" max="4" width="14.6953125" bestFit="1" customWidth="1"/>
  </cols>
  <sheetData>
    <row r="1" spans="1:4" ht="12" customHeight="1" thickBot="1" x14ac:dyDescent="0.2">
      <c r="A1" s="8"/>
      <c r="B1" s="8"/>
      <c r="C1" s="8"/>
      <c r="D1" s="8"/>
    </row>
    <row r="2" spans="1:4" ht="18" customHeight="1" thickBot="1" x14ac:dyDescent="0.25">
      <c r="B2" s="9" t="s">
        <v>3</v>
      </c>
      <c r="C2" s="4" t="s">
        <v>8</v>
      </c>
      <c r="D2" s="25">
        <f>Capital[[#Totals],[Avoir]]-Capital[[#Totals],[Doit]]</f>
        <v>12780.84</v>
      </c>
    </row>
    <row r="3" spans="1:4" ht="18" customHeight="1" x14ac:dyDescent="0.15">
      <c r="A3" s="5"/>
      <c r="C3" s="3">
        <f>Capital[[#Totals],[Doit]]</f>
        <v>0</v>
      </c>
      <c r="D3" s="24">
        <f>Capital[[#Totals],[Avoir]]</f>
        <v>12780.84</v>
      </c>
    </row>
    <row r="4" spans="1:4" ht="12" customHeight="1" x14ac:dyDescent="0.15">
      <c r="A4" s="5"/>
      <c r="C4" s="2"/>
      <c r="D4" s="2"/>
    </row>
    <row r="5" spans="1:4" x14ac:dyDescent="0.15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15">
      <c r="A6" s="11">
        <v>44196</v>
      </c>
      <c r="B6" s="16" t="s">
        <v>21</v>
      </c>
      <c r="C6" s="15"/>
      <c r="D6" s="15">
        <v>12443.8</v>
      </c>
    </row>
    <row r="7" spans="1:4" x14ac:dyDescent="0.15">
      <c r="A7" s="10">
        <v>44925</v>
      </c>
      <c r="B7" s="16" t="s">
        <v>204</v>
      </c>
      <c r="C7" s="17"/>
      <c r="D7" s="17">
        <v>337.04</v>
      </c>
    </row>
    <row r="8" spans="1:4" x14ac:dyDescent="0.15">
      <c r="A8" t="s">
        <v>8</v>
      </c>
      <c r="B8" s="5"/>
      <c r="C8" s="17">
        <f>SUBTOTAL(109,Capital[Doit])</f>
        <v>0</v>
      </c>
      <c r="D8" s="17">
        <f>SUBTOTAL(109,Capital[Avoir])</f>
        <v>12780.84</v>
      </c>
    </row>
  </sheetData>
  <pageMargins left="0.7" right="0.7" top="0.75" bottom="0.75" header="0.3" footer="0.3"/>
  <pageSetup paperSize="9" scale="8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18</vt:i4>
      </vt:variant>
    </vt:vector>
  </HeadingPairs>
  <TitlesOfParts>
    <vt:vector size="29" baseType="lpstr">
      <vt:lpstr>Journal</vt:lpstr>
      <vt:lpstr>Cotisations</vt:lpstr>
      <vt:lpstr>Caisse</vt:lpstr>
      <vt:lpstr>Raiffeisen</vt:lpstr>
      <vt:lpstr>Produits et Frais</vt:lpstr>
      <vt:lpstr>Twint</vt:lpstr>
      <vt:lpstr>Caissier</vt:lpstr>
      <vt:lpstr>Marché Villageois</vt:lpstr>
      <vt:lpstr>Passifs Transitoires</vt:lpstr>
      <vt:lpstr>Profits et Pertes</vt:lpstr>
      <vt:lpstr>Capital</vt:lpstr>
      <vt:lpstr>Caisse!Impression_des_titres</vt:lpstr>
      <vt:lpstr>Caissier!Impression_des_titres</vt:lpstr>
      <vt:lpstr>Cotisations!Impression_des_titres</vt:lpstr>
      <vt:lpstr>Journal!Impression_des_titres</vt:lpstr>
      <vt:lpstr>Marché Villageois!Impression_des_titres</vt:lpstr>
      <vt:lpstr>Produits et Frais!Impression_des_titres</vt:lpstr>
      <vt:lpstr>Raiffeisen!Impression_des_titres</vt:lpstr>
      <vt:lpstr>Twint!Impression_des_titres</vt:lpstr>
      <vt:lpstr>Caisse!Zone_d_impression</vt:lpstr>
      <vt:lpstr>Caissier!Zone_d_impression</vt:lpstr>
      <vt:lpstr>Capital!Zone_d_impression</vt:lpstr>
      <vt:lpstr>Cotisations!Zone_d_impression</vt:lpstr>
      <vt:lpstr>Journal!Zone_d_impression</vt:lpstr>
      <vt:lpstr>Marché Villageois!Zone_d_impression</vt:lpstr>
      <vt:lpstr>Produits et Frais!Zone_d_impression</vt:lpstr>
      <vt:lpstr>Profits et Pertes!Zone_d_impression</vt:lpstr>
      <vt:lpstr>Raiffeisen!Zone_d_impression</vt:lpstr>
      <vt:lpstr>Twint!Zone_d_impression</vt:lpstr>
    </vt:vector>
  </TitlesOfParts>
  <Company>Bach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Jean-Michel PERRET</dc:creator>
  <cp:lastModifiedBy>Thomas Merli</cp:lastModifiedBy>
  <cp:lastPrinted>2026-02-12T15:34:29Z</cp:lastPrinted>
  <dcterms:created xsi:type="dcterms:W3CDTF">2014-08-13T07:50:28Z</dcterms:created>
  <dcterms:modified xsi:type="dcterms:W3CDTF">2026-02-12T15:35:12Z</dcterms:modified>
</cp:coreProperties>
</file>